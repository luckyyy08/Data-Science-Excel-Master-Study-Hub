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ky\Desktop\Advance Excel\"/>
    </mc:Choice>
  </mc:AlternateContent>
  <xr:revisionPtr revIDLastSave="0" documentId="13_ncr:1_{88F356C1-2E36-49D5-8C6D-4CAA64A8E402}" xr6:coauthVersionLast="36" xr6:coauthVersionMax="36" xr10:uidLastSave="{00000000-0000-0000-0000-000000000000}"/>
  <bookViews>
    <workbookView xWindow="0" yWindow="0" windowWidth="21570" windowHeight="7890" xr2:uid="{8F604947-E31D-4FA0-8B60-5715E0123833}"/>
  </bookViews>
  <sheets>
    <sheet name="Sheet1" sheetId="1" r:id="rId1"/>
  </sheets>
  <definedNames>
    <definedName name="aa">Sheet1!$A$1:$J$21</definedName>
    <definedName name="Age">Sheet1!$B$2:$B$21</definedName>
    <definedName name="Amount">Sheet1!$G$2:$G$21</definedName>
    <definedName name="Category">Sheet1!$E$2:$E$21</definedName>
    <definedName name="Channel">Sheet1!$F$2:$F$21</definedName>
    <definedName name="Gender">Sheet1!$C$2:$C$21</definedName>
    <definedName name="Id">Sheet1!$A$2:$A$21</definedName>
    <definedName name="Location">Sheet1!$J$2:$J$21</definedName>
    <definedName name="Product">Sheet1!$D$2:$D$21</definedName>
    <definedName name="Profit">Sheet1!$H$2:$H$21</definedName>
    <definedName name="Purchase_Date">Sheet1!$I$2:$I$21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M3" i="1" l="1"/>
  <c r="AH3" i="1"/>
  <c r="AE8" i="1"/>
  <c r="AA8" i="1"/>
  <c r="W8" i="1"/>
  <c r="O13" i="1"/>
  <c r="O8" i="1"/>
  <c r="S8" i="1"/>
  <c r="N3" i="1"/>
  <c r="AD3" i="1"/>
  <c r="V3" i="1"/>
  <c r="R3" i="1"/>
  <c r="AN8" i="1"/>
  <c r="AI8" i="1"/>
  <c r="Z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750948-BC27-4963-A0AF-0892E477174C}" keepAlive="1" name="Query - practice file" description="Connection to the 'practice file' query in the workbook." type="5" refreshedVersion="6" background="1">
    <dbPr connection="Provider=Microsoft.Mashup.OleDb.1;Data Source=$Workbook$;Location=practice file;Extended Properties=&quot;&quot;" command="SELECT * FROM [practice file]"/>
  </connection>
</connections>
</file>

<file path=xl/sharedStrings.xml><?xml version="1.0" encoding="utf-8"?>
<sst xmlns="http://schemas.openxmlformats.org/spreadsheetml/2006/main" count="189" uniqueCount="74">
  <si>
    <t>Id</t>
  </si>
  <si>
    <t>Age</t>
  </si>
  <si>
    <t>Gender</t>
  </si>
  <si>
    <t>Product</t>
  </si>
  <si>
    <t>Category</t>
  </si>
  <si>
    <t>Channel</t>
  </si>
  <si>
    <t>Amount</t>
  </si>
  <si>
    <t>Profit</t>
  </si>
  <si>
    <t>Purchase Date</t>
  </si>
  <si>
    <t>Location</t>
  </si>
  <si>
    <t>Male</t>
  </si>
  <si>
    <t>iPhone 14</t>
  </si>
  <si>
    <t>Electronics</t>
  </si>
  <si>
    <t>Online</t>
  </si>
  <si>
    <t>Mumbai</t>
  </si>
  <si>
    <t>Female</t>
  </si>
  <si>
    <t>Nike Sneakers</t>
  </si>
  <si>
    <t>Footwear</t>
  </si>
  <si>
    <t>Offline</t>
  </si>
  <si>
    <t>Chennai</t>
  </si>
  <si>
    <t>Samsung TV</t>
  </si>
  <si>
    <t>Bengaluru</t>
  </si>
  <si>
    <t>Fossil Watch</t>
  </si>
  <si>
    <t>Accessories</t>
  </si>
  <si>
    <t>Pune</t>
  </si>
  <si>
    <t>Dell Laptop</t>
  </si>
  <si>
    <t>Hyderabad</t>
  </si>
  <si>
    <t>H&amp;M Dress</t>
  </si>
  <si>
    <t>Clothing</t>
  </si>
  <si>
    <t>JBL Speaker</t>
  </si>
  <si>
    <t>Kolkata</t>
  </si>
  <si>
    <t>Mixer Grinder</t>
  </si>
  <si>
    <t>Home Appliance</t>
  </si>
  <si>
    <t>Ahmedabad</t>
  </si>
  <si>
    <t>Office Chair</t>
  </si>
  <si>
    <t>Furniture</t>
  </si>
  <si>
    <t>Jaipur</t>
  </si>
  <si>
    <t>Handbag</t>
  </si>
  <si>
    <t>Lucknow</t>
  </si>
  <si>
    <t>AC 1.5 Ton</t>
  </si>
  <si>
    <t>Nagpur</t>
  </si>
  <si>
    <t>Sunglasses</t>
  </si>
  <si>
    <t>Bhopal</t>
  </si>
  <si>
    <t>Washing Machine</t>
  </si>
  <si>
    <t>Chandigarh</t>
  </si>
  <si>
    <t>Skincare Set</t>
  </si>
  <si>
    <t>Beauty</t>
  </si>
  <si>
    <t>Surat</t>
  </si>
  <si>
    <t>Gym Membership</t>
  </si>
  <si>
    <t>Services</t>
  </si>
  <si>
    <t>Noida</t>
  </si>
  <si>
    <t>Smartwatch</t>
  </si>
  <si>
    <t>Indore</t>
  </si>
  <si>
    <t>Gaming Console</t>
  </si>
  <si>
    <t>Kochi</t>
  </si>
  <si>
    <t>Winter Jacket</t>
  </si>
  <si>
    <t>Patna</t>
  </si>
  <si>
    <t>Dining Table</t>
  </si>
  <si>
    <t>Kanpur</t>
  </si>
  <si>
    <t>Makeup Kit</t>
  </si>
  <si>
    <t>Thane</t>
  </si>
  <si>
    <t>amount</t>
  </si>
  <si>
    <t>DSUM</t>
  </si>
  <si>
    <t>DMAX</t>
  </si>
  <si>
    <t>DMIN</t>
  </si>
  <si>
    <t>offline</t>
  </si>
  <si>
    <t>DAVERAGE</t>
  </si>
  <si>
    <t>DGET</t>
  </si>
  <si>
    <t>DCOUNT</t>
  </si>
  <si>
    <t>DCOUNTA</t>
  </si>
  <si>
    <t>product</t>
  </si>
  <si>
    <t>feMale</t>
  </si>
  <si>
    <t>female</t>
  </si>
  <si>
    <t>jaipur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</si>
</sst>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8065E-F9A3-44AE-A3CC-8DE7F31DFBE9}">
  <dimension ref="A1:AN21"/>
  <sheetViews>
    <sheetView tabSelected="1" topLeftCell="M1" zoomScaleNormal="100" workbookViewId="0">
      <selection activeCell="AS8" sqref="AS8"/>
    </sheetView>
  </sheetViews>
  <sheetFormatPr defaultRowHeight="15" x14ac:dyDescent="0.25"/>
  <cols>
    <col min="1" max="1" width="5" bestFit="1" customWidth="1"/>
    <col min="2" max="2" width="6.7109375" bestFit="1" customWidth="1"/>
    <col min="3" max="3" width="10" bestFit="1" customWidth="1"/>
    <col min="4" max="4" width="16.85546875" bestFit="1" customWidth="1"/>
    <col min="5" max="5" width="15.7109375" bestFit="1" customWidth="1"/>
    <col min="6" max="6" width="10.5703125" bestFit="1" customWidth="1"/>
    <col min="7" max="7" width="10.42578125" bestFit="1" customWidth="1"/>
    <col min="8" max="8" width="9" bestFit="1" customWidth="1"/>
    <col min="9" max="9" width="16" bestFit="1" customWidth="1"/>
    <col min="10" max="10" width="11.7109375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N1" t="s">
        <v>62</v>
      </c>
      <c r="R1" t="s">
        <v>63</v>
      </c>
      <c r="V1" t="s">
        <v>64</v>
      </c>
      <c r="Z1" t="s">
        <v>66</v>
      </c>
      <c r="AD1" t="s">
        <v>67</v>
      </c>
      <c r="AH1" t="s">
        <v>68</v>
      </c>
      <c r="AM1" t="s">
        <v>69</v>
      </c>
    </row>
    <row r="2" spans="1:40" x14ac:dyDescent="0.25">
      <c r="A2">
        <v>1</v>
      </c>
      <c r="B2">
        <v>25</v>
      </c>
      <c r="C2" t="s">
        <v>10</v>
      </c>
      <c r="D2" t="s">
        <v>11</v>
      </c>
      <c r="E2" t="s">
        <v>12</v>
      </c>
      <c r="F2" t="s">
        <v>13</v>
      </c>
      <c r="G2">
        <v>79999</v>
      </c>
      <c r="H2">
        <v>19999.75</v>
      </c>
      <c r="I2" s="1">
        <v>45778</v>
      </c>
      <c r="J2" t="s">
        <v>14</v>
      </c>
      <c r="M2" t="s">
        <v>2</v>
      </c>
      <c r="N2" t="s">
        <v>61</v>
      </c>
      <c r="Q2" t="s">
        <v>4</v>
      </c>
      <c r="R2" t="s">
        <v>6</v>
      </c>
      <c r="U2" t="s">
        <v>5</v>
      </c>
      <c r="V2" t="s">
        <v>61</v>
      </c>
      <c r="Y2" t="s">
        <v>2</v>
      </c>
      <c r="Z2" t="s">
        <v>6</v>
      </c>
      <c r="AC2" t="s">
        <v>0</v>
      </c>
      <c r="AD2" t="s">
        <v>3</v>
      </c>
      <c r="AG2" t="s">
        <v>4</v>
      </c>
      <c r="AH2" t="s">
        <v>61</v>
      </c>
      <c r="AL2" t="s">
        <v>9</v>
      </c>
      <c r="AM2" t="s">
        <v>70</v>
      </c>
    </row>
    <row r="3" spans="1:40" x14ac:dyDescent="0.25">
      <c r="A3">
        <v>2</v>
      </c>
      <c r="B3">
        <v>32</v>
      </c>
      <c r="C3" t="s">
        <v>15</v>
      </c>
      <c r="D3" t="s">
        <v>16</v>
      </c>
      <c r="E3" t="s">
        <v>17</v>
      </c>
      <c r="F3" t="s">
        <v>18</v>
      </c>
      <c r="G3">
        <v>6999</v>
      </c>
      <c r="H3">
        <v>1749.75</v>
      </c>
      <c r="I3" s="1">
        <v>45767</v>
      </c>
      <c r="J3" t="s">
        <v>19</v>
      </c>
      <c r="M3" t="s">
        <v>10</v>
      </c>
      <c r="N3">
        <f>DSUM(aa,N2,M2:M3)</f>
        <v>339991</v>
      </c>
      <c r="Q3" t="s">
        <v>12</v>
      </c>
      <c r="R3">
        <f>DMAX(aa,R2,Q2:Q3)</f>
        <v>79999</v>
      </c>
      <c r="U3" t="s">
        <v>13</v>
      </c>
      <c r="V3">
        <f>DMIN(aa,V2,U2:U3:U4)</f>
        <v>1499</v>
      </c>
      <c r="Y3" t="s">
        <v>10</v>
      </c>
      <c r="Z3">
        <f>DAVERAGE(aa,Z2,Y2:Y4)</f>
        <v>19399.05</v>
      </c>
      <c r="AC3">
        <v>1</v>
      </c>
      <c r="AD3" t="str">
        <f>DGET(aa,AD2,AC2:AC3)</f>
        <v>iPhone 14</v>
      </c>
      <c r="AG3" t="s">
        <v>12</v>
      </c>
      <c r="AH3">
        <f>DCOUNT(aa,AH2,AG2:AG3)</f>
        <v>6</v>
      </c>
      <c r="AL3" t="s">
        <v>24</v>
      </c>
      <c r="AM3">
        <f>DCOUNTA(aa,AM2,AL2:AL3)</f>
        <v>1</v>
      </c>
    </row>
    <row r="4" spans="1:40" x14ac:dyDescent="0.25">
      <c r="A4">
        <v>3</v>
      </c>
      <c r="B4">
        <v>45</v>
      </c>
      <c r="C4" t="s">
        <v>10</v>
      </c>
      <c r="D4" t="s">
        <v>20</v>
      </c>
      <c r="E4" t="s">
        <v>12</v>
      </c>
      <c r="F4" t="s">
        <v>13</v>
      </c>
      <c r="G4">
        <v>45999</v>
      </c>
      <c r="H4">
        <v>11499.75</v>
      </c>
      <c r="I4" s="1">
        <v>45731</v>
      </c>
      <c r="J4" t="s">
        <v>21</v>
      </c>
      <c r="U4" t="s">
        <v>18</v>
      </c>
      <c r="Y4" t="s">
        <v>15</v>
      </c>
    </row>
    <row r="5" spans="1:40" x14ac:dyDescent="0.25">
      <c r="A5">
        <v>4</v>
      </c>
      <c r="B5">
        <v>29</v>
      </c>
      <c r="C5" t="s">
        <v>15</v>
      </c>
      <c r="D5" t="s">
        <v>22</v>
      </c>
      <c r="E5" t="s">
        <v>23</v>
      </c>
      <c r="F5" t="s">
        <v>18</v>
      </c>
      <c r="G5">
        <v>11999</v>
      </c>
      <c r="H5">
        <v>2999.75</v>
      </c>
      <c r="I5" s="1">
        <v>45782</v>
      </c>
      <c r="J5" t="s">
        <v>24</v>
      </c>
    </row>
    <row r="6" spans="1:40" x14ac:dyDescent="0.25">
      <c r="A6">
        <v>5</v>
      </c>
      <c r="B6">
        <v>38</v>
      </c>
      <c r="C6" t="s">
        <v>10</v>
      </c>
      <c r="D6" t="s">
        <v>25</v>
      </c>
      <c r="E6" t="s">
        <v>12</v>
      </c>
      <c r="F6" t="s">
        <v>13</v>
      </c>
      <c r="G6">
        <v>65999</v>
      </c>
      <c r="H6">
        <v>16499.75</v>
      </c>
      <c r="I6" s="1">
        <v>45675</v>
      </c>
      <c r="J6" t="s">
        <v>26</v>
      </c>
      <c r="O6" t="s">
        <v>62</v>
      </c>
      <c r="S6" t="s">
        <v>63</v>
      </c>
      <c r="W6" t="s">
        <v>64</v>
      </c>
      <c r="AA6" t="s">
        <v>66</v>
      </c>
      <c r="AE6" t="s">
        <v>67</v>
      </c>
      <c r="AI6" t="s">
        <v>68</v>
      </c>
      <c r="AN6" t="s">
        <v>69</v>
      </c>
    </row>
    <row r="7" spans="1:40" x14ac:dyDescent="0.25">
      <c r="A7">
        <v>6</v>
      </c>
      <c r="B7">
        <v>26</v>
      </c>
      <c r="C7" t="s">
        <v>15</v>
      </c>
      <c r="D7" t="s">
        <v>27</v>
      </c>
      <c r="E7" t="s">
        <v>28</v>
      </c>
      <c r="F7" t="s">
        <v>13</v>
      </c>
      <c r="G7">
        <v>2999</v>
      </c>
      <c r="H7">
        <v>749.75</v>
      </c>
      <c r="I7" s="1">
        <v>45702</v>
      </c>
      <c r="J7" t="s">
        <v>19</v>
      </c>
      <c r="M7" t="s">
        <v>4</v>
      </c>
      <c r="N7" t="s">
        <v>5</v>
      </c>
      <c r="O7" t="s">
        <v>61</v>
      </c>
      <c r="Q7" t="s">
        <v>2</v>
      </c>
      <c r="R7" t="s">
        <v>4</v>
      </c>
      <c r="S7" t="s">
        <v>6</v>
      </c>
      <c r="U7" t="s">
        <v>5</v>
      </c>
      <c r="V7" t="s">
        <v>2</v>
      </c>
      <c r="W7" t="s">
        <v>61</v>
      </c>
      <c r="Y7" t="s">
        <v>2</v>
      </c>
      <c r="Z7" t="s">
        <v>5</v>
      </c>
      <c r="AA7" t="s">
        <v>6</v>
      </c>
      <c r="AC7" t="s">
        <v>9</v>
      </c>
      <c r="AD7" t="s">
        <v>5</v>
      </c>
      <c r="AE7" t="s">
        <v>70</v>
      </c>
      <c r="AG7" t="s">
        <v>2</v>
      </c>
      <c r="AH7" t="s">
        <v>4</v>
      </c>
      <c r="AI7" t="s">
        <v>0</v>
      </c>
      <c r="AL7" t="s">
        <v>2</v>
      </c>
      <c r="AM7" t="s">
        <v>4</v>
      </c>
      <c r="AN7" t="s">
        <v>70</v>
      </c>
    </row>
    <row r="8" spans="1:40" x14ac:dyDescent="0.25">
      <c r="A8">
        <v>7</v>
      </c>
      <c r="B8">
        <v>34</v>
      </c>
      <c r="C8" t="s">
        <v>10</v>
      </c>
      <c r="D8" t="s">
        <v>29</v>
      </c>
      <c r="E8" t="s">
        <v>12</v>
      </c>
      <c r="F8" t="s">
        <v>18</v>
      </c>
      <c r="G8">
        <v>4999</v>
      </c>
      <c r="H8">
        <v>1249.75</v>
      </c>
      <c r="I8" s="1">
        <v>45738</v>
      </c>
      <c r="J8" t="s">
        <v>30</v>
      </c>
      <c r="M8" t="s">
        <v>12</v>
      </c>
      <c r="N8" t="s">
        <v>65</v>
      </c>
      <c r="O8">
        <f>DSUM(aa,O7,M7:N8)</f>
        <v>4999</v>
      </c>
      <c r="Q8" t="s">
        <v>71</v>
      </c>
      <c r="R8" t="s">
        <v>17</v>
      </c>
      <c r="S8">
        <f>DMAX(aa,S7,Q7:R8)</f>
        <v>6999</v>
      </c>
      <c r="U8" t="s">
        <v>13</v>
      </c>
      <c r="V8" t="s">
        <v>72</v>
      </c>
      <c r="W8">
        <f>DMIN(aa,W7,U7:V8)</f>
        <v>1999</v>
      </c>
      <c r="Y8" t="s">
        <v>10</v>
      </c>
      <c r="Z8" t="s">
        <v>65</v>
      </c>
      <c r="AA8">
        <f>DAVERAGE(aa,AA7,Y7:Z9)</f>
        <v>5415.75</v>
      </c>
      <c r="AC8" t="s">
        <v>73</v>
      </c>
      <c r="AD8" t="s">
        <v>13</v>
      </c>
      <c r="AE8" t="str">
        <f>DGET(aa,AE7,AC7:AD8)</f>
        <v>Office Chair</v>
      </c>
      <c r="AG8" t="s">
        <v>10</v>
      </c>
      <c r="AH8" t="s">
        <v>12</v>
      </c>
      <c r="AI8">
        <f>DCOUNT(aa,AI7,AG7:AH8)</f>
        <v>5</v>
      </c>
      <c r="AL8" t="s">
        <v>10</v>
      </c>
      <c r="AM8" t="s">
        <v>12</v>
      </c>
      <c r="AN8">
        <f>DCOUNTA(aa,AN7,AL7:AM8)</f>
        <v>5</v>
      </c>
    </row>
    <row r="9" spans="1:40" x14ac:dyDescent="0.25">
      <c r="A9">
        <v>8</v>
      </c>
      <c r="B9">
        <v>41</v>
      </c>
      <c r="C9" t="s">
        <v>15</v>
      </c>
      <c r="D9" t="s">
        <v>31</v>
      </c>
      <c r="E9" t="s">
        <v>32</v>
      </c>
      <c r="F9" t="s">
        <v>13</v>
      </c>
      <c r="G9">
        <v>3499</v>
      </c>
      <c r="H9">
        <v>874.75</v>
      </c>
      <c r="I9" s="1">
        <v>45759</v>
      </c>
      <c r="J9" t="s">
        <v>33</v>
      </c>
      <c r="Y9" t="s">
        <v>15</v>
      </c>
    </row>
    <row r="10" spans="1:40" x14ac:dyDescent="0.25">
      <c r="A10">
        <v>9</v>
      </c>
      <c r="B10">
        <v>30</v>
      </c>
      <c r="C10" t="s">
        <v>10</v>
      </c>
      <c r="D10" t="s">
        <v>34</v>
      </c>
      <c r="E10" t="s">
        <v>35</v>
      </c>
      <c r="F10" t="s">
        <v>13</v>
      </c>
      <c r="G10">
        <v>5999</v>
      </c>
      <c r="H10">
        <v>1499.75</v>
      </c>
      <c r="I10" s="1">
        <v>45784</v>
      </c>
      <c r="J10" t="s">
        <v>36</v>
      </c>
    </row>
    <row r="11" spans="1:40" x14ac:dyDescent="0.25">
      <c r="A11">
        <v>10</v>
      </c>
      <c r="B11">
        <v>27</v>
      </c>
      <c r="C11" t="s">
        <v>15</v>
      </c>
      <c r="D11" t="s">
        <v>37</v>
      </c>
      <c r="E11" t="s">
        <v>23</v>
      </c>
      <c r="F11" t="s">
        <v>18</v>
      </c>
      <c r="G11">
        <v>2399</v>
      </c>
      <c r="H11">
        <v>599.75</v>
      </c>
      <c r="I11" s="1">
        <v>45682</v>
      </c>
      <c r="J11" t="s">
        <v>38</v>
      </c>
      <c r="O11" t="s">
        <v>62</v>
      </c>
    </row>
    <row r="12" spans="1:40" x14ac:dyDescent="0.25">
      <c r="A12">
        <v>11</v>
      </c>
      <c r="B12">
        <v>50</v>
      </c>
      <c r="C12" t="s">
        <v>10</v>
      </c>
      <c r="D12" t="s">
        <v>39</v>
      </c>
      <c r="E12" t="s">
        <v>32</v>
      </c>
      <c r="F12" t="s">
        <v>13</v>
      </c>
      <c r="G12">
        <v>35999</v>
      </c>
      <c r="H12">
        <v>8999.75</v>
      </c>
      <c r="I12" s="1">
        <v>45745</v>
      </c>
      <c r="J12" t="s">
        <v>40</v>
      </c>
      <c r="M12" t="s">
        <v>5</v>
      </c>
      <c r="N12" t="s">
        <v>2</v>
      </c>
      <c r="O12" t="s">
        <v>61</v>
      </c>
    </row>
    <row r="13" spans="1:40" x14ac:dyDescent="0.25">
      <c r="A13">
        <v>12</v>
      </c>
      <c r="B13">
        <v>22</v>
      </c>
      <c r="C13" t="s">
        <v>15</v>
      </c>
      <c r="D13" t="s">
        <v>41</v>
      </c>
      <c r="E13" t="s">
        <v>23</v>
      </c>
      <c r="F13" t="s">
        <v>18</v>
      </c>
      <c r="G13">
        <v>1499</v>
      </c>
      <c r="H13">
        <v>374.75</v>
      </c>
      <c r="I13" s="1">
        <v>45696</v>
      </c>
      <c r="J13" t="s">
        <v>42</v>
      </c>
      <c r="M13" t="s">
        <v>13</v>
      </c>
      <c r="N13" t="s">
        <v>72</v>
      </c>
      <c r="O13">
        <f>DSUM(aa,O12,M12:N14)</f>
        <v>64989</v>
      </c>
    </row>
    <row r="14" spans="1:40" x14ac:dyDescent="0.25">
      <c r="A14">
        <v>13</v>
      </c>
      <c r="B14">
        <v>36</v>
      </c>
      <c r="C14" t="s">
        <v>10</v>
      </c>
      <c r="D14" t="s">
        <v>43</v>
      </c>
      <c r="E14" t="s">
        <v>32</v>
      </c>
      <c r="F14" t="s">
        <v>13</v>
      </c>
      <c r="G14">
        <v>22999</v>
      </c>
      <c r="H14">
        <v>5749.75</v>
      </c>
      <c r="I14" s="1">
        <v>45779</v>
      </c>
      <c r="J14" t="s">
        <v>44</v>
      </c>
      <c r="M14" t="s">
        <v>65</v>
      </c>
    </row>
    <row r="15" spans="1:40" x14ac:dyDescent="0.25">
      <c r="A15">
        <v>14</v>
      </c>
      <c r="B15">
        <v>28</v>
      </c>
      <c r="C15" t="s">
        <v>15</v>
      </c>
      <c r="D15" t="s">
        <v>45</v>
      </c>
      <c r="E15" t="s">
        <v>46</v>
      </c>
      <c r="F15" t="s">
        <v>13</v>
      </c>
      <c r="G15">
        <v>1999</v>
      </c>
      <c r="H15">
        <v>499.75</v>
      </c>
      <c r="I15" s="1">
        <v>45772</v>
      </c>
      <c r="J15" t="s">
        <v>47</v>
      </c>
    </row>
    <row r="16" spans="1:40" x14ac:dyDescent="0.25">
      <c r="A16">
        <v>15</v>
      </c>
      <c r="B16">
        <v>33</v>
      </c>
      <c r="C16" t="s">
        <v>10</v>
      </c>
      <c r="D16" t="s">
        <v>48</v>
      </c>
      <c r="E16" t="s">
        <v>49</v>
      </c>
      <c r="F16" t="s">
        <v>18</v>
      </c>
      <c r="G16">
        <v>12000</v>
      </c>
      <c r="H16">
        <v>3000</v>
      </c>
      <c r="I16" s="1">
        <v>45667</v>
      </c>
      <c r="J16" t="s">
        <v>50</v>
      </c>
    </row>
    <row r="17" spans="1:10" x14ac:dyDescent="0.25">
      <c r="A17">
        <v>16</v>
      </c>
      <c r="B17">
        <v>24</v>
      </c>
      <c r="C17" t="s">
        <v>15</v>
      </c>
      <c r="D17" t="s">
        <v>51</v>
      </c>
      <c r="E17" t="s">
        <v>12</v>
      </c>
      <c r="F17" t="s">
        <v>13</v>
      </c>
      <c r="G17">
        <v>9999</v>
      </c>
      <c r="H17">
        <v>2499.75</v>
      </c>
      <c r="I17" s="1">
        <v>45705</v>
      </c>
      <c r="J17" t="s">
        <v>52</v>
      </c>
    </row>
    <row r="18" spans="1:10" x14ac:dyDescent="0.25">
      <c r="A18">
        <v>17</v>
      </c>
      <c r="B18">
        <v>39</v>
      </c>
      <c r="C18" t="s">
        <v>10</v>
      </c>
      <c r="D18" t="s">
        <v>53</v>
      </c>
      <c r="E18" t="s">
        <v>12</v>
      </c>
      <c r="F18" t="s">
        <v>13</v>
      </c>
      <c r="G18">
        <v>44999</v>
      </c>
      <c r="H18">
        <v>11249.75</v>
      </c>
      <c r="I18" s="1">
        <v>45777</v>
      </c>
      <c r="J18" t="s">
        <v>54</v>
      </c>
    </row>
    <row r="19" spans="1:10" x14ac:dyDescent="0.25">
      <c r="A19">
        <v>18</v>
      </c>
      <c r="B19">
        <v>31</v>
      </c>
      <c r="C19" t="s">
        <v>15</v>
      </c>
      <c r="D19" t="s">
        <v>55</v>
      </c>
      <c r="E19" t="s">
        <v>28</v>
      </c>
      <c r="F19" t="s">
        <v>18</v>
      </c>
      <c r="G19">
        <v>3999</v>
      </c>
      <c r="H19">
        <v>999.75</v>
      </c>
      <c r="I19" s="1">
        <v>45724</v>
      </c>
      <c r="J19" t="s">
        <v>56</v>
      </c>
    </row>
    <row r="20" spans="1:10" x14ac:dyDescent="0.25">
      <c r="A20">
        <v>19</v>
      </c>
      <c r="B20">
        <v>46</v>
      </c>
      <c r="C20" t="s">
        <v>10</v>
      </c>
      <c r="D20" t="s">
        <v>57</v>
      </c>
      <c r="E20" t="s">
        <v>35</v>
      </c>
      <c r="F20" t="s">
        <v>13</v>
      </c>
      <c r="G20">
        <v>20999</v>
      </c>
      <c r="H20">
        <v>5249.75</v>
      </c>
      <c r="I20" s="1">
        <v>45780</v>
      </c>
      <c r="J20" t="s">
        <v>58</v>
      </c>
    </row>
    <row r="21" spans="1:10" x14ac:dyDescent="0.25">
      <c r="A21">
        <v>20</v>
      </c>
      <c r="B21">
        <v>35</v>
      </c>
      <c r="C21" t="s">
        <v>15</v>
      </c>
      <c r="D21" t="s">
        <v>59</v>
      </c>
      <c r="E21" t="s">
        <v>46</v>
      </c>
      <c r="F21" t="s">
        <v>13</v>
      </c>
      <c r="G21">
        <v>2599</v>
      </c>
      <c r="H21">
        <v>649.75</v>
      </c>
      <c r="I21" s="1">
        <v>45710</v>
      </c>
      <c r="J21" t="s">
        <v>60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0B77F5-2BEF-46EA-A437-044C06972E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12" baseType="lpstr">
      <vt:lpstr>Sheet1</vt:lpstr>
      <vt:lpstr>aa</vt:lpstr>
      <vt:lpstr>Age</vt:lpstr>
      <vt:lpstr>Amount</vt:lpstr>
      <vt:lpstr>Category</vt:lpstr>
      <vt:lpstr>Channel</vt:lpstr>
      <vt:lpstr>Gender</vt:lpstr>
      <vt:lpstr>Id</vt:lpstr>
      <vt:lpstr>Location</vt:lpstr>
      <vt:lpstr>Product</vt:lpstr>
      <vt:lpstr>Profit</vt:lpstr>
      <vt:lpstr>Purchase_Date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Ahire</dc:creator>
  <cp:lastModifiedBy>Lokesh Ahire</cp:lastModifiedBy>
  <dcterms:created xsi:type="dcterms:W3CDTF">2026-07-29T08:18:37Z</dcterms:created>
  <dcterms:modified xsi:type="dcterms:W3CDTF">2026-07-29T09:09:10Z</dcterms:modified>
</cp:coreProperties>
</file>