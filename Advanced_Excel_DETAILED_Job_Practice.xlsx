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ucky\Desktop\Advance Excel\"/>
    </mc:Choice>
  </mc:AlternateContent>
  <xr:revisionPtr revIDLastSave="0" documentId="13_ncr:1_{8C365FCD-564E-472F-ACE4-4FB25757AD00}" xr6:coauthVersionLast="47" xr6:coauthVersionMax="47" xr10:uidLastSave="{00000000-0000-0000-0000-000000000000}"/>
  <bookViews>
    <workbookView xWindow="-120" yWindow="-120" windowWidth="29040" windowHeight="15720" firstSheet="1" activeTab="7" xr2:uid="{00000000-000D-0000-FFFF-FFFF00000000}"/>
  </bookViews>
  <sheets>
    <sheet name="Instructions" sheetId="1" r:id="rId1"/>
    <sheet name="Raw_Sales_Data" sheetId="2" r:id="rId2"/>
    <sheet name="Detailed_Formula_Practice" sheetId="9" r:id="rId3"/>
    <sheet name="Employee_Data" sheetId="3" r:id="rId4"/>
    <sheet name="Lookup_Master" sheetId="4" r:id="rId5"/>
    <sheet name="Data_Cleaning" sheetId="5" r:id="rId6"/>
    <sheet name="Dashboard_Data" sheetId="6" r:id="rId7"/>
    <sheet name="Dashboard" sheetId="7" r:id="rId8"/>
    <sheet name="What_If" sheetId="8" r:id="rId9"/>
    <sheet name="Lookup_Lab" sheetId="10" r:id="rId10"/>
    <sheet name="Date_Text_Lab" sheetId="11" r:id="rId11"/>
    <sheet name="Conditional_Format_Lab" sheetId="12" r:id="rId12"/>
    <sheet name="Data_Cleaning_Lab" sheetId="13" r:id="rId13"/>
    <sheet name="Pivot_Masterclass" sheetId="14" r:id="rId14"/>
    <sheet name="Dashboard_Project" sheetId="15" r:id="rId15"/>
    <sheet name="Job_Interview_100" sheetId="16" r:id="rId16"/>
    <sheet name="Formula_Bank" sheetId="17" r:id="rId17"/>
  </sheets>
  <definedNames>
    <definedName name="_xlnm._FilterDatabase" localSheetId="2" hidden="1">Detailed_Formula_Practice!$A$1:$G$50</definedName>
    <definedName name="_xlnm._FilterDatabase" localSheetId="15" hidden="1">Job_Interview_100!$A$1:$E$84</definedName>
    <definedName name="Slicer_Region">#N/A</definedName>
  </definedNames>
  <calcPr calcId="191029"/>
  <pivotCaches>
    <pivotCache cacheId="7"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9" l="1"/>
  <c r="G15" i="9"/>
  <c r="G14" i="9"/>
  <c r="G13" i="9"/>
  <c r="F9" i="11"/>
  <c r="F10" i="11"/>
  <c r="F11" i="11"/>
  <c r="F12" i="11"/>
  <c r="F14" i="11"/>
  <c r="F15" i="11"/>
  <c r="F16" i="11"/>
  <c r="F17" i="11"/>
  <c r="F18" i="11"/>
  <c r="F19" i="11"/>
  <c r="F20" i="11"/>
  <c r="F21" i="11"/>
  <c r="F22" i="11"/>
  <c r="F24" i="11"/>
  <c r="F25" i="11"/>
  <c r="F26" i="11"/>
  <c r="F6" i="11"/>
  <c r="F5" i="11"/>
  <c r="F4" i="11"/>
  <c r="F3" i="11"/>
  <c r="F2" i="11"/>
  <c r="G12" i="9"/>
  <c r="G11" i="9"/>
  <c r="G10" i="9"/>
  <c r="G9" i="9"/>
  <c r="G8" i="9"/>
  <c r="G7" i="9"/>
  <c r="H5" i="9"/>
  <c r="G5" i="9"/>
  <c r="H4" i="9"/>
  <c r="G4" i="9"/>
  <c r="G3" i="9"/>
  <c r="G2" i="9"/>
  <c r="G7" i="5"/>
  <c r="G6" i="5"/>
  <c r="G5" i="5"/>
  <c r="G4" i="5"/>
  <c r="G3" i="5"/>
  <c r="G2" i="5"/>
  <c r="B38" i="17" l="1"/>
  <c r="B37" i="17"/>
  <c r="B35" i="17"/>
  <c r="B34" i="17"/>
  <c r="B33" i="17"/>
  <c r="B32" i="17"/>
  <c r="B31" i="17"/>
  <c r="B30" i="17"/>
  <c r="B29" i="17"/>
  <c r="B28" i="17"/>
  <c r="B27" i="17"/>
  <c r="B26" i="17"/>
  <c r="B25" i="17"/>
  <c r="B21" i="17"/>
  <c r="B18" i="17"/>
  <c r="B17" i="17"/>
  <c r="B16" i="17"/>
  <c r="B15" i="17"/>
  <c r="B14" i="17"/>
  <c r="B13" i="17"/>
  <c r="B12" i="17"/>
  <c r="B11" i="17"/>
  <c r="B10" i="17"/>
  <c r="B9" i="17"/>
  <c r="B8" i="17"/>
  <c r="B7" i="17"/>
  <c r="B6" i="17"/>
  <c r="B5" i="17"/>
  <c r="B4" i="17"/>
  <c r="B3" i="17"/>
  <c r="B2" i="17"/>
  <c r="B24" i="17" s="1"/>
  <c r="C5" i="8"/>
  <c r="C6" i="8" s="1"/>
  <c r="B6" i="6"/>
  <c r="B4" i="6"/>
  <c r="B5" i="6" s="1"/>
  <c r="B3" i="6"/>
  <c r="B2" i="6"/>
  <c r="B7" i="6" l="1"/>
  <c r="B19" i="17"/>
  <c r="B20" i="17"/>
  <c r="B22" i="17"/>
  <c r="B23" i="17"/>
</calcChain>
</file>

<file path=xl/sharedStrings.xml><?xml version="1.0" encoding="utf-8"?>
<sst xmlns="http://schemas.openxmlformats.org/spreadsheetml/2006/main" count="6051" uniqueCount="1395">
  <si>
    <t>Advanced Excel – Job-Oriented Practice Workbook</t>
  </si>
  <si>
    <t>Complete practice workbook</t>
  </si>
  <si>
    <t>How to use</t>
  </si>
  <si>
    <t>Try every task yourself first. Use Solutions only for checking.</t>
  </si>
  <si>
    <t>Raw_Sales_Data</t>
  </si>
  <si>
    <t>500 realistic sales records for formulas, filtering, PivotTables and dashboards.</t>
  </si>
  <si>
    <t>Employee_Data</t>
  </si>
  <si>
    <t>100 employee records for HR calculations and analysis.</t>
  </si>
  <si>
    <t>Lookup_Master</t>
  </si>
  <si>
    <t>Product master for VLOOKUP, XLOOKUP and INDEX-MATCH.</t>
  </si>
  <si>
    <t>Formula_Practice</t>
  </si>
  <si>
    <t>50 job-style tasks covering formulas and interview problems.</t>
  </si>
  <si>
    <t>Data_Cleaning</t>
  </si>
  <si>
    <t>Messy customer data for TRIM, CLEAN, text/number cleanup and duplicates.</t>
  </si>
  <si>
    <t>Pivot_Practice</t>
  </si>
  <si>
    <t>PivotTable tasks: region, category, month, salesperson and customer analysis.</t>
  </si>
  <si>
    <t>Dashboard_Data</t>
  </si>
  <si>
    <t>KPI calculations for a management dashboard.</t>
  </si>
  <si>
    <t>Dashboard</t>
  </si>
  <si>
    <t>One-page dashboard practice area.</t>
  </si>
  <si>
    <t>What_If</t>
  </si>
  <si>
    <t>Goal Seek and Scenario Manager practice cases.</t>
  </si>
  <si>
    <t>Solutions</t>
  </si>
  <si>
    <t>Common formula examples to compare with your work.</t>
  </si>
  <si>
    <t>Recommended Practice Method</t>
  </si>
  <si>
    <t>1. First work on Raw_Sales_Data without looking at Formula_Bank.</t>
  </si>
  <si>
    <t>2. Complete Detailed_Formula_Practice in order from Beginner → Intermediate → Advanced.</t>
  </si>
  <si>
    <t>3. For lookup topics, use Lookup_Lab and test both valid and invalid product names.</t>
  </si>
  <si>
    <t>4. For dates/text, use Date_Text_Lab and actually type formulas rather than reading them.</t>
  </si>
  <si>
    <t>5. For PivotTable, create real PivotTables from Raw_Sales_Data and use grouping/slicers.</t>
  </si>
  <si>
    <t>6. For Dashboard, build the visuals yourself; do not treat the Dashboard sheet as the final answer.</t>
  </si>
  <si>
    <t>7. Finish Job_Interview_100 without looking at Formula_Bank. These are the closest tasks to job practice.</t>
  </si>
  <si>
    <t>8. Only after attempting a task, check Formula_Bank.</t>
  </si>
  <si>
    <t>Order_ID</t>
  </si>
  <si>
    <t>Order_Date</t>
  </si>
  <si>
    <t>Region</t>
  </si>
  <si>
    <t>State</t>
  </si>
  <si>
    <t>Salesperson</t>
  </si>
  <si>
    <t>Category</t>
  </si>
  <si>
    <t>Product</t>
  </si>
  <si>
    <t>Units</t>
  </si>
  <si>
    <t>Unit_Price</t>
  </si>
  <si>
    <t>Discount</t>
  </si>
  <si>
    <t>Revenue</t>
  </si>
  <si>
    <t>Cost</t>
  </si>
  <si>
    <t>Profit</t>
  </si>
  <si>
    <t>Customer_Type</t>
  </si>
  <si>
    <t>Payment_Mode</t>
  </si>
  <si>
    <t>ORD0001</t>
  </si>
  <si>
    <t>West</t>
  </si>
  <si>
    <t>Maharashtra</t>
  </si>
  <si>
    <t>Priya</t>
  </si>
  <si>
    <t>Office Supplies</t>
  </si>
  <si>
    <t>Pen Set</t>
  </si>
  <si>
    <t>Wholesale</t>
  </si>
  <si>
    <t>Bank Transfer</t>
  </si>
  <si>
    <t>ORD0002</t>
  </si>
  <si>
    <t>Sneha</t>
  </si>
  <si>
    <t>Electronics</t>
  </si>
  <si>
    <t>Monitor</t>
  </si>
  <si>
    <t>ORD0003</t>
  </si>
  <si>
    <t>South</t>
  </si>
  <si>
    <t>Tamil Nadu</t>
  </si>
  <si>
    <t>Neha</t>
  </si>
  <si>
    <t>Notebook</t>
  </si>
  <si>
    <t>Retail</t>
  </si>
  <si>
    <t>UPI</t>
  </si>
  <si>
    <t>ORD0004</t>
  </si>
  <si>
    <t>North</t>
  </si>
  <si>
    <t>Delhi</t>
  </si>
  <si>
    <t>Printer</t>
  </si>
  <si>
    <t>ORD0005</t>
  </si>
  <si>
    <t>Gujarat</t>
  </si>
  <si>
    <t>Keyboard</t>
  </si>
  <si>
    <t>Cash</t>
  </si>
  <si>
    <t>ORD0006</t>
  </si>
  <si>
    <t>Goa</t>
  </si>
  <si>
    <t>Furniture</t>
  </si>
  <si>
    <t>Bookshelf</t>
  </si>
  <si>
    <t>Corporate</t>
  </si>
  <si>
    <t>Card</t>
  </si>
  <si>
    <t>ORD0007</t>
  </si>
  <si>
    <t>ORD0008</t>
  </si>
  <si>
    <t>Karnataka</t>
  </si>
  <si>
    <t>Amit</t>
  </si>
  <si>
    <t>Accessories</t>
  </si>
  <si>
    <t>USB Hub</t>
  </si>
  <si>
    <t>ORD0009</t>
  </si>
  <si>
    <t>Rajasthan</t>
  </si>
  <si>
    <t>ORD0010</t>
  </si>
  <si>
    <t>East</t>
  </si>
  <si>
    <t>Bihar</t>
  </si>
  <si>
    <t>Headset</t>
  </si>
  <si>
    <t>ORD0011</t>
  </si>
  <si>
    <t>Odisha</t>
  </si>
  <si>
    <t>Desk</t>
  </si>
  <si>
    <t>ORD0012</t>
  </si>
  <si>
    <t>ORD0013</t>
  </si>
  <si>
    <t>File Folder</t>
  </si>
  <si>
    <t>ORD0014</t>
  </si>
  <si>
    <t>Telangana</t>
  </si>
  <si>
    <t>Vikas</t>
  </si>
  <si>
    <t>ORD0015</t>
  </si>
  <si>
    <t>Laptop</t>
  </si>
  <si>
    <t>ORD0016</t>
  </si>
  <si>
    <t>Pooja</t>
  </si>
  <si>
    <t>Mouse</t>
  </si>
  <si>
    <t>ORD0017</t>
  </si>
  <si>
    <t>Uttar Pradesh</t>
  </si>
  <si>
    <t>ORD0018</t>
  </si>
  <si>
    <t>Stapler</t>
  </si>
  <si>
    <t>ORD0019</t>
  </si>
  <si>
    <t>ORD0020</t>
  </si>
  <si>
    <t>ORD0021</t>
  </si>
  <si>
    <t>West Bengal</t>
  </si>
  <si>
    <t>ORD0022</t>
  </si>
  <si>
    <t>Webcam</t>
  </si>
  <si>
    <t>ORD0023</t>
  </si>
  <si>
    <t>ORD0024</t>
  </si>
  <si>
    <t>Cabinet</t>
  </si>
  <si>
    <t>ORD0025</t>
  </si>
  <si>
    <t>ORD0026</t>
  </si>
  <si>
    <t>ORD0027</t>
  </si>
  <si>
    <t>Rohan</t>
  </si>
  <si>
    <t>ORD0028</t>
  </si>
  <si>
    <t>ORD0029</t>
  </si>
  <si>
    <t>ORD0030</t>
  </si>
  <si>
    <t>ORD0031</t>
  </si>
  <si>
    <t>ORD0032</t>
  </si>
  <si>
    <t>ORD0033</t>
  </si>
  <si>
    <t>ORD0034</t>
  </si>
  <si>
    <t>Rahul</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</si>
  <si>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</si>
  <si>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</si>
  <si>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</si>
  <si>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</si>
  <si>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</si>
  <si>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</si>
  <si>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</si>
  <si>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</si>
  <si>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</si>
  <si>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</si>
  <si>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</si>
  <si>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</si>
  <si>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</si>
  <si>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</si>
  <si>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</si>
  <si>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</si>
  <si>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</si>
  <si>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</si>
  <si>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</si>
  <si>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</si>
  <si>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</si>
  <si>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</si>
  <si>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</si>
  <si>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</si>
  <si>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</si>
  <si>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</si>
  <si>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Office Chair</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</si>
  <si>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</si>
  <si>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</si>
  <si>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</si>
  <si>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</si>
  <si>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</si>
  <si>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</si>
  <si>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</si>
  <si>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</si>
  <si>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</si>
  <si>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</si>
  <si>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</si>
  <si>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</si>
  <si>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</si>
  <si>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</si>
  <si>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</si>
  <si>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</si>
  <si>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</si>
  <si>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</si>
  <si>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</si>
  <si>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</si>
  <si>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</si>
  <si>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</si>
  <si>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</si>
  <si>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</si>
  <si>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</si>
  <si>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</si>
  <si>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</si>
  <si>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</si>
  <si>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</si>
  <si>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</si>
  <si>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</si>
  <si>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</si>
  <si>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</si>
  <si>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</si>
  <si>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</si>
  <si>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</si>
  <si>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</si>
  <si>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</si>
  <si>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</si>
  <si>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</si>
  <si>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</si>
  <si>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</si>
  <si>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</si>
  <si>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</si>
  <si>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</si>
  <si>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</si>
  <si>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</si>
  <si>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</si>
  <si>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</si>
  <si>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</si>
  <si>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</si>
  <si>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</si>
  <si>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</si>
  <si>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</si>
  <si>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</si>
  <si>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</si>
  <si>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</si>
  <si>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</si>
  <si>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</si>
  <si>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</si>
  <si>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</si>
  <si>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</si>
  <si>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</si>
  <si>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</si>
  <si>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</si>
  <si>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</si>
  <si>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</si>
  <si>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</si>
  <si>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</si>
  <si>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</si>
  <si>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</si>
  <si>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</si>
  <si>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</si>
  <si>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</si>
  <si>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</si>
  <si>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</si>
  <si>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</si>
  <si>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</si>
  <si>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</si>
  <si>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</si>
  <si>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</si>
  <si>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</si>
  <si>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</si>
  <si>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</si>
  <si>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</si>
  <si>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</si>
  <si>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</si>
  <si>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</si>
  <si>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</si>
  <si>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</si>
  <si>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</si>
  <si>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</si>
  <si>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</si>
  <si>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</si>
  <si>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</si>
  <si>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</si>
  <si>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</si>
  <si>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</si>
  <si>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</si>
  <si>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</si>
  <si>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</si>
  <si>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</si>
  <si>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</si>
  <si>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</si>
  <si>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</si>
  <si>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</si>
  <si>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</si>
  <si>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</si>
  <si>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</si>
  <si>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</si>
  <si>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</si>
  <si>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</si>
  <si>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</si>
  <si>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</si>
  <si>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</si>
  <si>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</si>
  <si>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</si>
  <si>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</si>
  <si>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</si>
  <si>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</si>
  <si>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</si>
  <si>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</si>
  <si>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</si>
  <si>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</si>
  <si>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</si>
  <si>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</si>
  <si>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</si>
  <si>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</si>
  <si>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</si>
  <si>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</si>
  <si>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</si>
  <si>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</si>
  <si>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</si>
  <si>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</si>
  <si>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</si>
  <si>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</si>
  <si>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</si>
  <si>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</si>
  <si>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</si>
  <si>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</si>
  <si>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</si>
  <si>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</si>
  <si>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</si>
  <si>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</si>
  <si>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</si>
  <si>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</si>
  <si>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</si>
  <si>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</si>
  <si>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</si>
  <si>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</si>
  <si>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</si>
  <si>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</si>
  <si>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</si>
  <si>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</si>
  <si>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</si>
  <si>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</si>
  <si>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</si>
  <si>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</si>
  <si>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</si>
  <si>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</si>
  <si>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</si>
  <si>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</si>
  <si>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</si>
  <si>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</si>
  <si>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</si>
  <si>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</si>
  <si>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</si>
  <si>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</si>
  <si>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</si>
  <si>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</si>
  <si>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</si>
  <si>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</si>
  <si>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</si>
  <si>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</si>
  <si>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</si>
  <si>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</si>
  <si>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</si>
  <si>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</si>
  <si>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</si>
  <si>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</si>
  <si>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</si>
  <si>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</si>
  <si>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</si>
  <si>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</si>
  <si>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</si>
  <si>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</si>
  <si>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</si>
  <si>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</si>
  <si>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</si>
  <si>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</si>
  <si>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</si>
  <si>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</si>
  <si>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</si>
  <si>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</si>
  <si>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</si>
  <si>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</si>
  <si>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</si>
  <si>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</si>
  <si>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</si>
  <si>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</si>
  <si>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</si>
  <si>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</si>
  <si>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</si>
  <si>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</si>
  <si>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</si>
  <si>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</si>
  <si>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</si>
  <si>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</si>
  <si>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</si>
  <si>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</si>
  <si>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</si>
  <si>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</si>
  <si>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</si>
  <si>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</si>
  <si>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</si>
  <si>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</si>
  <si>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</si>
  <si>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</si>
  <si>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</si>
  <si>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</si>
  <si>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</si>
  <si>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</si>
  <si>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</si>
  <si>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</si>
  <si>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</si>
  <si>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</si>
  <si>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</si>
  <si>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</si>
  <si>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</si>
  <si>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</si>
  <si>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</si>
  <si>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</si>
  <si>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</si>
  <si>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</si>
  <si>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</si>
  <si>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</si>
  <si>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</si>
  <si>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</si>
  <si>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</si>
  <si>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</si>
  <si>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</si>
  <si>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</si>
  <si>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</si>
  <si>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</si>
  <si>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</si>
  <si>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</si>
  <si>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</si>
  <si>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</si>
  <si>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</si>
  <si>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</si>
  <si>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</si>
  <si>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</si>
  <si>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</si>
  <si>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</si>
  <si>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</si>
  <si>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</si>
  <si>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</si>
  <si>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</si>
  <si>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</si>
  <si>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</si>
  <si>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</si>
  <si>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</si>
  <si>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</si>
  <si>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</si>
  <si>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</si>
  <si>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</si>
  <si>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</si>
  <si>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</si>
  <si>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</si>
  <si>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</si>
  <si>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</si>
  <si>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</si>
  <si>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</si>
  <si>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</si>
  <si>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</si>
  <si>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</si>
  <si>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</si>
  <si>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</si>
  <si>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</si>
  <si>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</si>
  <si>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</si>
  <si>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</si>
  <si>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</si>
  <si>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</si>
  <si>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</si>
  <si>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</si>
  <si>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</si>
  <si>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</si>
  <si>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</si>
  <si>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</si>
  <si>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</si>
  <si>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</si>
  <si>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</si>
  <si>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</si>
  <si>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</si>
  <si>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</si>
  <si>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</si>
  <si>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</si>
  <si>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</si>
  <si>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</si>
  <si>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</si>
  <si>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</si>
  <si>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</si>
  <si>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</si>
  <si>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</si>
  <si>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</si>
  <si>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</si>
  <si>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</si>
  <si>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</si>
  <si>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</si>
  <si>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</si>
  <si>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</si>
  <si>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</si>
  <si>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</si>
  <si>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</si>
  <si>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</si>
  <si>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</si>
  <si>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</si>
  <si>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</si>
  <si>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</si>
  <si>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</si>
  <si>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</si>
  <si>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</si>
  <si>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</si>
  <si>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</si>
  <si>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</si>
  <si>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</si>
  <si>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</si>
  <si>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</si>
  <si>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</si>
  <si>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</si>
  <si>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</si>
  <si>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</si>
  <si>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</si>
  <si>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</si>
  <si>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</si>
  <si>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</si>
  <si>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</si>
  <si>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</si>
  <si>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</si>
  <si>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</si>
  <si>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</si>
  <si>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</si>
  <si>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</si>
  <si>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</si>
  <si>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</si>
  <si>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</si>
  <si>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</si>
  <si>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</si>
  <si>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</si>
  <si>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</si>
  <si>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</si>
  <si>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</si>
  <si>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</si>
  <si>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</si>
  <si>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</si>
  <si>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</si>
  <si>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</si>
  <si>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</si>
  <si>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</si>
  <si>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</si>
  <si>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</si>
  <si>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</si>
  <si>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</si>
  <si>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</si>
  <si>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</si>
  <si>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</si>
  <si>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</si>
  <si>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</si>
  <si>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</si>
  <si>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</si>
  <si>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</si>
  <si>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</si>
  <si>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</si>
  <si>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</si>
  <si>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</si>
  <si>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</si>
  <si>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</si>
  <si>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</si>
  <si>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</si>
  <si>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</si>
  <si>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</si>
  <si>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</si>
  <si>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</si>
  <si>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</si>
  <si>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</si>
  <si>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</si>
  <si>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</si>
  <si>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</si>
  <si>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</si>
  <si>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</si>
  <si>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</si>
  <si>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</si>
  <si>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</si>
  <si>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</si>
  <si>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</si>
  <si>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</si>
  <si>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</si>
  <si>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</si>
  <si>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</si>
  <si>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</si>
  <si>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</si>
  <si>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</si>
  <si>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</si>
  <si>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</si>
  <si>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</si>
  <si>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</si>
  <si>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</si>
  <si>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</si>
  <si>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</si>
  <si>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</si>
  <si>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</si>
  <si>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</si>
  <si>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</si>
  <si>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</si>
  <si>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</si>
  <si>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</si>
  <si>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</si>
  <si>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</si>
  <si>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</si>
  <si>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</si>
  <si>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</si>
  <si>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</si>
  <si>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</si>
  <si>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</si>
  <si>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</si>
  <si>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</si>
  <si>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</si>
  <si>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</si>
  <si>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</si>
  <si>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</si>
  <si>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</si>
  <si>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</si>
  <si>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</si>
  <si>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</si>
  <si>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</si>
  <si>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</si>
  <si>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</si>
  <si>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</si>
  <si>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</si>
  <si>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Emp_ID</t>
  </si>
  <si>
    <t>Name</t>
  </si>
  <si>
    <t>Department</t>
  </si>
  <si>
    <t>Designation</t>
  </si>
  <si>
    <t>Joining_Date</t>
  </si>
  <si>
    <t>Location</t>
  </si>
  <si>
    <t>Salary</t>
  </si>
  <si>
    <t>Performance</t>
  </si>
  <si>
    <t>Experience_Years</t>
  </si>
  <si>
    <t>Manager</t>
  </si>
  <si>
    <t>E001</t>
  </si>
  <si>
    <t>Meera</t>
  </si>
  <si>
    <t>HR</t>
  </si>
  <si>
    <t>Team Lead</t>
  </si>
  <si>
    <t>Pune</t>
  </si>
  <si>
    <t>Excellent</t>
  </si>
  <si>
    <t>Akash</t>
  </si>
  <si>
    <t>E002</t>
  </si>
  <si>
    <t>Riya</t>
  </si>
  <si>
    <t>Sales</t>
  </si>
  <si>
    <t>Senior Analyst</t>
  </si>
  <si>
    <t>Nashik</t>
  </si>
  <si>
    <t>Good</t>
  </si>
  <si>
    <t>Aditya</t>
  </si>
  <si>
    <t>E003</t>
  </si>
  <si>
    <t>Manish</t>
  </si>
  <si>
    <t>Operations</t>
  </si>
  <si>
    <t>Varun</t>
  </si>
  <si>
    <t>E004</t>
  </si>
  <si>
    <t>Finance</t>
  </si>
  <si>
    <t>Analyst</t>
  </si>
  <si>
    <t>E005</t>
  </si>
  <si>
    <t>Om</t>
  </si>
  <si>
    <t>Marketing</t>
  </si>
  <si>
    <t>Executive</t>
  </si>
  <si>
    <t>Average</t>
  </si>
  <si>
    <t>Tanya</t>
  </si>
  <si>
    <t>E006</t>
  </si>
  <si>
    <t>Arjun</t>
  </si>
  <si>
    <t>Bengaluru</t>
  </si>
  <si>
    <t>Needs Improvement</t>
  </si>
  <si>
    <t>Isha</t>
  </si>
  <si>
    <t>E007</t>
  </si>
  <si>
    <t>Ananya</t>
  </si>
  <si>
    <t>E008</t>
  </si>
  <si>
    <t>IT</t>
  </si>
  <si>
    <t>E009</t>
  </si>
  <si>
    <t>Nikita</t>
  </si>
  <si>
    <t>Developer</t>
  </si>
  <si>
    <t>Mumbai</t>
  </si>
  <si>
    <t>Kavya</t>
  </si>
  <si>
    <t>E010</t>
  </si>
  <si>
    <t>E011</t>
  </si>
  <si>
    <t>Sahil</t>
  </si>
  <si>
    <t>E012</t>
  </si>
  <si>
    <t>E013</t>
  </si>
  <si>
    <t>E014</t>
  </si>
  <si>
    <t>Karan</t>
  </si>
  <si>
    <t>E015</t>
  </si>
  <si>
    <t>Snehal</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</si>
  <si>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</si>
  <si>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</si>
  <si>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</si>
  <si>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</si>
  <si>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</si>
  <si>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</si>
  <si>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</si>
  <si>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</si>
  <si>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</si>
  <si>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</si>
  <si>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</si>
  <si>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</si>
  <si>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</si>
  <si>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</si>
  <si>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</si>
  <si>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</si>
  <si>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</si>
  <si>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</si>
  <si>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</si>
  <si>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</si>
  <si>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</si>
  <si>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</si>
  <si>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</si>
  <si>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</si>
  <si>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</si>
  <si>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</si>
  <si>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</si>
  <si>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</si>
  <si>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</si>
  <si>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</si>
  <si>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</si>
  <si>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</si>
  <si>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</si>
  <si>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</si>
  <si>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</si>
  <si>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</si>
  <si>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</si>
  <si>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</si>
  <si>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</si>
  <si>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</si>
  <si>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</si>
  <si>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</si>
  <si>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</si>
  <si>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</si>
  <si>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</si>
  <si>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</si>
  <si>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</si>
  <si>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</si>
  <si>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</si>
  <si>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</si>
  <si>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</si>
  <si>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</si>
  <si>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</si>
  <si>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</si>
  <si>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</si>
  <si>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</si>
  <si>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</si>
  <si>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</si>
  <si>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</si>
  <si>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</si>
  <si>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</si>
  <si>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</si>
  <si>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</si>
  <si>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</si>
  <si>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</si>
  <si>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</si>
  <si>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</si>
  <si>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</si>
  <si>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</si>
  <si>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</si>
  <si>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</si>
  <si>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</si>
  <si>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</si>
  <si>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</si>
  <si>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</si>
  <si>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</si>
  <si>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</si>
  <si>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</si>
  <si>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</si>
  <si>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</si>
  <si>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</si>
  <si>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</si>
  <si>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</si>
  <si>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</si>
  <si>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</si>
  <si>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Standard_Price</t>
  </si>
  <si>
    <t>Target_Margin</t>
  </si>
  <si>
    <t>Region_Manager</t>
  </si>
  <si>
    <t>Ramesh</t>
  </si>
  <si>
    <t>Swati</t>
  </si>
  <si>
    <t>Mahesh</t>
  </si>
  <si>
    <t>Deepak</t>
  </si>
  <si>
    <t>Customer_Name</t>
  </si>
  <si>
    <t>City</t>
  </si>
  <si>
    <t>Phone</t>
  </si>
  <si>
    <t>Email</t>
  </si>
  <si>
    <t>Amount</t>
  </si>
  <si>
    <t>Cleaning Tasks</t>
  </si>
  <si>
    <t xml:space="preserve">  Rahul Patil </t>
  </si>
  <si>
    <t>nashik</t>
  </si>
  <si>
    <t>98765 43210</t>
  </si>
  <si>
    <t>rahul@EXAMPLE.com</t>
  </si>
  <si>
    <t xml:space="preserve"> Laptop </t>
  </si>
  <si>
    <t>55000</t>
  </si>
  <si>
    <t>TRIM names</t>
  </si>
  <si>
    <t>Priya  Shah</t>
  </si>
  <si>
    <t xml:space="preserve">PUNE </t>
  </si>
  <si>
    <t>9876543210</t>
  </si>
  <si>
    <t xml:space="preserve"> priya@example.com </t>
  </si>
  <si>
    <t>12000</t>
  </si>
  <si>
    <t>Standardize City</t>
  </si>
  <si>
    <t xml:space="preserve"> Amit Joshi</t>
  </si>
  <si>
    <t>98765-11111</t>
  </si>
  <si>
    <t>amit@example.com</t>
  </si>
  <si>
    <t xml:space="preserve"> Laptop</t>
  </si>
  <si>
    <t>Clean phone numbers</t>
  </si>
  <si>
    <t xml:space="preserve">Sneha Patil </t>
  </si>
  <si>
    <t xml:space="preserve">nashik </t>
  </si>
  <si>
    <t>98765 22222</t>
  </si>
  <si>
    <t>sneha@Example.COM</t>
  </si>
  <si>
    <t xml:space="preserve">Mouse </t>
  </si>
  <si>
    <t>900</t>
  </si>
  <si>
    <t>Lowercase emails</t>
  </si>
  <si>
    <t>Karan  More</t>
  </si>
  <si>
    <t>9876512345</t>
  </si>
  <si>
    <t>karan@example.com</t>
  </si>
  <si>
    <t>1800</t>
  </si>
  <si>
    <t>TRIM products</t>
  </si>
  <si>
    <t xml:space="preserve">Riya Kulkarni </t>
  </si>
  <si>
    <t>MUMBAI</t>
  </si>
  <si>
    <t>98765-44444</t>
  </si>
  <si>
    <t>riya@example.com</t>
  </si>
  <si>
    <t>9000</t>
  </si>
  <si>
    <t>Convert Amount to number</t>
  </si>
  <si>
    <t xml:space="preserve">  Rahul Patil</t>
  </si>
  <si>
    <t>rahul@example.com</t>
  </si>
  <si>
    <t>Remove duplicates</t>
  </si>
  <si>
    <t>Neha Shinde</t>
  </si>
  <si>
    <t xml:space="preserve">pune </t>
  </si>
  <si>
    <t>98765 66666</t>
  </si>
  <si>
    <t xml:space="preserve"> neha@example.com</t>
  </si>
  <si>
    <t xml:space="preserve">Monitor </t>
  </si>
  <si>
    <t>Create cleaned table</t>
  </si>
  <si>
    <t>KPI</t>
  </si>
  <si>
    <t>Formula</t>
  </si>
  <si>
    <t>Total Revenue</t>
  </si>
  <si>
    <t>Total Cost</t>
  </si>
  <si>
    <t>Total Profit</t>
  </si>
  <si>
    <t>Profit Margin</t>
  </si>
  <si>
    <t>Total Orders</t>
  </si>
  <si>
    <t>Average Order Value</t>
  </si>
  <si>
    <t>Orders</t>
  </si>
  <si>
    <t>Revenue by Region</t>
  </si>
  <si>
    <t>Profit by Category</t>
  </si>
  <si>
    <t>Monthly Revenue Trend</t>
  </si>
  <si>
    <t>Top 5 Products</t>
  </si>
  <si>
    <t>Customer Type Revenue</t>
  </si>
  <si>
    <t>Case</t>
  </si>
  <si>
    <t>Input</t>
  </si>
  <si>
    <t>Value</t>
  </si>
  <si>
    <t>Current Units</t>
  </si>
  <si>
    <t>Current Price</t>
  </si>
  <si>
    <t>Price</t>
  </si>
  <si>
    <t>Current Cost/Unit</t>
  </si>
  <si>
    <t>Current Revenue</t>
  </si>
  <si>
    <t>Current Profit</t>
  </si>
  <si>
    <t>Goal</t>
  </si>
  <si>
    <t>Target Profit</t>
  </si>
  <si>
    <t>Practice</t>
  </si>
  <si>
    <t>Goal Seek</t>
  </si>
  <si>
    <t>Change Units until Profit = Target Profit</t>
  </si>
  <si>
    <t>Scenario 1</t>
  </si>
  <si>
    <t>Price +10%</t>
  </si>
  <si>
    <t>Scenario 2</t>
  </si>
  <si>
    <t>Cost -8%</t>
  </si>
  <si>
    <t>Scenario 3</t>
  </si>
  <si>
    <t>Units +20%</t>
  </si>
  <si>
    <t>Scenario Manager</t>
  </si>
  <si>
    <t>Create Current / Best / Worst</t>
  </si>
  <si>
    <t>No.</t>
  </si>
  <si>
    <t>Level</t>
  </si>
  <si>
    <t>Topic</t>
  </si>
  <si>
    <t>Task / Business Question</t>
  </si>
  <si>
    <t>Use These Columns</t>
  </si>
  <si>
    <t>Expected Skill</t>
  </si>
  <si>
    <t>Your Formula / Answer</t>
  </si>
  <si>
    <t>Beginner</t>
  </si>
  <si>
    <t>SUM</t>
  </si>
  <si>
    <t>Calculate total sales revenue</t>
  </si>
  <si>
    <t>AVERAGE</t>
  </si>
  <si>
    <t>Find average order revenue</t>
  </si>
  <si>
    <t>MIN/MAX</t>
  </si>
  <si>
    <t>Find minimum and maximum order profit</t>
  </si>
  <si>
    <t>MIN, MAX</t>
  </si>
  <si>
    <t>COUNT/COUNTA</t>
  </si>
  <si>
    <t>Count total orders and filled salesperson names</t>
  </si>
  <si>
    <t>Order_ID, Salesperson</t>
  </si>
  <si>
    <t>ROUND</t>
  </si>
  <si>
    <t>Round revenue to nearest ₹100</t>
  </si>
  <si>
    <t>IF</t>
  </si>
  <si>
    <t>Show Profitable if Profit &gt; 0, otherwise Loss</t>
  </si>
  <si>
    <t>AND</t>
  </si>
  <si>
    <t>Flag orders where Units &gt; 10 AND Discount &gt;= 10%</t>
  </si>
  <si>
    <t>Units, Discount</t>
  </si>
  <si>
    <t>AND + IF</t>
  </si>
  <si>
    <t>OR</t>
  </si>
  <si>
    <t>Flag orders from West OR South</t>
  </si>
  <si>
    <t>OR + IF</t>
  </si>
  <si>
    <t>Intermediate</t>
  </si>
  <si>
    <t>SUMIF</t>
  </si>
  <si>
    <t>Total revenue for West region</t>
  </si>
  <si>
    <t>Region, Revenue</t>
  </si>
  <si>
    <t>SUMIFS</t>
  </si>
  <si>
    <t>Revenue for West + Electronics</t>
  </si>
  <si>
    <t>Region, Category, Revenue</t>
  </si>
  <si>
    <t>Profit for Corporate customers paid by UPI</t>
  </si>
  <si>
    <t>Customer_Type, Payment_Mode, Profit</t>
  </si>
  <si>
    <t>COUNTIF</t>
  </si>
  <si>
    <t>Count orders with 10% discount</t>
  </si>
  <si>
    <t>COUNTIFS</t>
  </si>
  <si>
    <t>Count South + Corporate orders</t>
  </si>
  <si>
    <t>Region, Customer_Type</t>
  </si>
  <si>
    <t>AVERAGEIF</t>
  </si>
  <si>
    <t>Average profit for Electronics</t>
  </si>
  <si>
    <t>Category, Profit</t>
  </si>
  <si>
    <t>AVERAGEIFS</t>
  </si>
  <si>
    <t>Average revenue for West + Retail</t>
  </si>
  <si>
    <t>Region, Customer_Type, Revenue</t>
  </si>
  <si>
    <t>IFERROR</t>
  </si>
  <si>
    <t>Return 0 instead of lookup error</t>
  </si>
  <si>
    <t>Nested IF</t>
  </si>
  <si>
    <t>Create Low/Medium/High order-value band</t>
  </si>
  <si>
    <t>IFS</t>
  </si>
  <si>
    <t>Classify profit: Loss / Low / Good / Excellent</t>
  </si>
  <si>
    <t>Text</t>
  </si>
  <si>
    <t>Extract first 3 characters of Order_ID</t>
  </si>
  <si>
    <t>LEFT</t>
  </si>
  <si>
    <t>Extract last 2 characters of Order_ID</t>
  </si>
  <si>
    <t>RIGHT</t>
  </si>
  <si>
    <t>Extract middle characters from Order_ID</t>
  </si>
  <si>
    <t>MID</t>
  </si>
  <si>
    <t>Find position of '-' or a chosen character in text</t>
  </si>
  <si>
    <t>Text field</t>
  </si>
  <si>
    <t>FIND/SEARCH</t>
  </si>
  <si>
    <t>Remove extra spaces from customer text in Data_Cleaning</t>
  </si>
  <si>
    <t>TRIM</t>
  </si>
  <si>
    <t>Make emails lowercase</t>
  </si>
  <si>
    <t>LOWER</t>
  </si>
  <si>
    <t>Combine salesperson + region into one label</t>
  </si>
  <si>
    <t>Salesperson, Region</t>
  </si>
  <si>
    <t>CONCAT / &amp;</t>
  </si>
  <si>
    <t>Date</t>
  </si>
  <si>
    <t>Extract year from Order_Date</t>
  </si>
  <si>
    <t>YEAR</t>
  </si>
  <si>
    <t>Extract month number</t>
  </si>
  <si>
    <t>MONTH</t>
  </si>
  <si>
    <t>Show month name</t>
  </si>
  <si>
    <t>TEXT</t>
  </si>
  <si>
    <t>Create Quarter Q1–Q4</t>
  </si>
  <si>
    <t>ROUNDUP + MONTH</t>
  </si>
  <si>
    <t>Create Financial Year label (Apr–Mar)</t>
  </si>
  <si>
    <t>IF + YEAR/MONTH</t>
  </si>
  <si>
    <t>Find days between today and order date</t>
  </si>
  <si>
    <t>TODAY</t>
  </si>
  <si>
    <t>Advanced</t>
  </si>
  <si>
    <t>XLOOKUP</t>
  </si>
  <si>
    <t>Return Category from Product</t>
  </si>
  <si>
    <t>Return Standard Price from Product master</t>
  </si>
  <si>
    <t>VLOOKUP</t>
  </si>
  <si>
    <t>Return Target Margin from Product master</t>
  </si>
  <si>
    <t>INDEX-MATCH</t>
  </si>
  <si>
    <t>Return Region Manager for a product</t>
  </si>
  <si>
    <t>INDEX + MATCH</t>
  </si>
  <si>
    <t>SUMPRODUCT</t>
  </si>
  <si>
    <t>Calculate revenue after discount using Units × Price × (1-Discount)</t>
  </si>
  <si>
    <t>Units, Unit_Price, Discount</t>
  </si>
  <si>
    <t>SUBTOTAL</t>
  </si>
  <si>
    <t>Calculate visible revenue after filtering</t>
  </si>
  <si>
    <t>UNIQUE</t>
  </si>
  <si>
    <t>Create unique salesperson list</t>
  </si>
  <si>
    <t>FILTER</t>
  </si>
  <si>
    <t>Show only Electronics orders</t>
  </si>
  <si>
    <t>Category + full data</t>
  </si>
  <si>
    <t>SORTBY</t>
  </si>
  <si>
    <t>Sort products by standard price descending</t>
  </si>
  <si>
    <t>RANK</t>
  </si>
  <si>
    <t>Rank salespeople by total revenue after creating a summary</t>
  </si>
  <si>
    <t>Summary revenue</t>
  </si>
  <si>
    <t>Identify duplicate customer names</t>
  </si>
  <si>
    <t>Contribution</t>
  </si>
  <si>
    <t>Calculate each order's % contribution to total revenue</t>
  </si>
  <si>
    <t>Revenue / Total</t>
  </si>
  <si>
    <t>Dynamic</t>
  </si>
  <si>
    <t>Create a dynamic top-10 product list</t>
  </si>
  <si>
    <t>Product + Revenue</t>
  </si>
  <si>
    <t>SORT/FILTER/LARGE</t>
  </si>
  <si>
    <t>Error handling</t>
  </si>
  <si>
    <t>Show 'Not Found' for missing product</t>
  </si>
  <si>
    <t>XLOOKUP + IFERROR</t>
  </si>
  <si>
    <t>Combination</t>
  </si>
  <si>
    <t>Create a formula for Revenue &gt; ₹50,000 and Profit Margin &gt; 20%</t>
  </si>
  <si>
    <t>Revenue, Profit</t>
  </si>
  <si>
    <t>IF + AND</t>
  </si>
  <si>
    <t>Create a formula for discount &gt;=10% OR profit below 15% of revenue</t>
  </si>
  <si>
    <t>Discount, Revenue, Profit</t>
  </si>
  <si>
    <t>IF + OR</t>
  </si>
  <si>
    <t>Interview</t>
  </si>
  <si>
    <t>Find the salesperson with the highest total revenue</t>
  </si>
  <si>
    <t>Salesperson + Revenue</t>
  </si>
  <si>
    <t>SUMIFS + MAX/XLOOKUP</t>
  </si>
  <si>
    <t>Find the region with the highest total profit</t>
  </si>
  <si>
    <t>Region + Profit</t>
  </si>
  <si>
    <t>Pivot/formula logic</t>
  </si>
  <si>
    <t>Challenge</t>
  </si>
  <si>
    <t>Source</t>
  </si>
  <si>
    <t>Target</t>
  </si>
  <si>
    <t>Hint</t>
  </si>
  <si>
    <t>Your Formula</t>
  </si>
  <si>
    <t>Result</t>
  </si>
  <si>
    <t>Test Product</t>
  </si>
  <si>
    <t>XLOOKUP basic</t>
  </si>
  <si>
    <t>Enter a product name and return Category</t>
  </si>
  <si>
    <t>Exact match</t>
  </si>
  <si>
    <t>XLOOKUP price</t>
  </si>
  <si>
    <t>Return Standard Price</t>
  </si>
  <si>
    <t>XLOOKUP manager</t>
  </si>
  <si>
    <t>Return Region Manager</t>
  </si>
  <si>
    <t>XLOOKUP missing</t>
  </si>
  <si>
    <t>Try a fake product and display Not Found</t>
  </si>
  <si>
    <t>IFNA/IFERROR</t>
  </si>
  <si>
    <t>VLOOKUP basic</t>
  </si>
  <si>
    <t>Return Category from product</t>
  </si>
  <si>
    <t>FALSE exact match</t>
  </si>
  <si>
    <t>VLOOKUP price</t>
  </si>
  <si>
    <t>Column index</t>
  </si>
  <si>
    <t>INDEX MATCH</t>
  </si>
  <si>
    <t>Return Target Margin</t>
  </si>
  <si>
    <t>MATCH product, INDEX margin</t>
  </si>
  <si>
    <t>Return manager</t>
  </si>
  <si>
    <t>Two ranges</t>
  </si>
  <si>
    <t>Two-condition lookup</t>
  </si>
  <si>
    <t>Return a value based on Product + Category</t>
  </si>
  <si>
    <t>Any field</t>
  </si>
  <si>
    <t>Use concatenation/helper or XLOOKUP</t>
  </si>
  <si>
    <t>Reverse lookup</t>
  </si>
  <si>
    <t>Given manager, return a product</t>
  </si>
  <si>
    <t>INDEX/MATCH or XLOOKUP</t>
  </si>
  <si>
    <t>Lookup from sales</t>
  </si>
  <si>
    <t>Add Category to a new mini order table using Product</t>
  </si>
  <si>
    <t>Add standard price beside sales price</t>
  </si>
  <si>
    <t>Variance</t>
  </si>
  <si>
    <t>Calculate Sales Price - Standard Price</t>
  </si>
  <si>
    <t>Raw + Master</t>
  </si>
  <si>
    <t>Lookup + subtraction</t>
  </si>
  <si>
    <t>Margin check</t>
  </si>
  <si>
    <t>Compare actual margin with target margin</t>
  </si>
  <si>
    <t>Status</t>
  </si>
  <si>
    <t>IF + lookup</t>
  </si>
  <si>
    <t>Which product has highest standard price?</t>
  </si>
  <si>
    <t>MAX + XLOOKUP</t>
  </si>
  <si>
    <t>Task</t>
  </si>
  <si>
    <t>Example Input</t>
  </si>
  <si>
    <t>Expected Output / Goal</t>
  </si>
  <si>
    <t>Extract day</t>
  </si>
  <si>
    <t>15-Apr-2025</t>
  </si>
  <si>
    <t>15</t>
  </si>
  <si>
    <t>Extract month</t>
  </si>
  <si>
    <t>4</t>
  </si>
  <si>
    <t>Extract year</t>
  </si>
  <si>
    <t>2025</t>
  </si>
  <si>
    <t>Month name</t>
  </si>
  <si>
    <t>April</t>
  </si>
  <si>
    <t>Short month</t>
  </si>
  <si>
    <t>Apr</t>
  </si>
  <si>
    <t>Quarter</t>
  </si>
  <si>
    <t>Q1</t>
  </si>
  <si>
    <t>Financial Year Apr-Mar</t>
  </si>
  <si>
    <t>FY 2025-26</t>
  </si>
  <si>
    <t>End of month</t>
  </si>
  <si>
    <t>30-Apr-2025</t>
  </si>
  <si>
    <t>Start of month</t>
  </si>
  <si>
    <t>01-Apr-2025</t>
  </si>
  <si>
    <t>Days elapsed</t>
  </si>
  <si>
    <t>Today - date</t>
  </si>
  <si>
    <t>Weekday name</t>
  </si>
  <si>
    <t>Tuesday</t>
  </si>
  <si>
    <t>Weekend flag</t>
  </si>
  <si>
    <t>Any date</t>
  </si>
  <si>
    <t>Weekend/Weekday</t>
  </si>
  <si>
    <t>First name</t>
  </si>
  <si>
    <t>Lokesh Ahire</t>
  </si>
  <si>
    <t>Lokesh</t>
  </si>
  <si>
    <t>Last name</t>
  </si>
  <si>
    <t>Ahire</t>
  </si>
  <si>
    <t>Name length</t>
  </si>
  <si>
    <t>11</t>
  </si>
  <si>
    <t>Uppercase</t>
  </si>
  <si>
    <t>LOKESH AHIRE</t>
  </si>
  <si>
    <t>Lowercase</t>
  </si>
  <si>
    <t>lokesh ahire</t>
  </si>
  <si>
    <t>Proper case</t>
  </si>
  <si>
    <t>lOKESH aHIRE</t>
  </si>
  <si>
    <t>Trim spaces</t>
  </si>
  <si>
    <t xml:space="preserve">  Lokesh   Ahire  </t>
  </si>
  <si>
    <t>Replace spaces</t>
  </si>
  <si>
    <t>Lokesh_Ahire</t>
  </si>
  <si>
    <t>Join fields</t>
  </si>
  <si>
    <t>Lokesh + Nashik</t>
  </si>
  <si>
    <t>Lokesh - Nashik</t>
  </si>
  <si>
    <t>Find character</t>
  </si>
  <si>
    <t>position of @</t>
  </si>
  <si>
    <t>Extract email domain</t>
  </si>
  <si>
    <t>example.com</t>
  </si>
  <si>
    <t>Extract email username</t>
  </si>
  <si>
    <t>rahul</t>
  </si>
  <si>
    <t>Clean phone</t>
  </si>
  <si>
    <t>98765-43210</t>
  </si>
  <si>
    <t>Rule</t>
  </si>
  <si>
    <t>Range</t>
  </si>
  <si>
    <t>What to do</t>
  </si>
  <si>
    <t>Expected visual</t>
  </si>
  <si>
    <t>1</t>
  </si>
  <si>
    <t>Revenue &gt; ₹50,000</t>
  </si>
  <si>
    <t>Raw_Sales_Data Revenue</t>
  </si>
  <si>
    <t>Highlight high-value orders</t>
  </si>
  <si>
    <t>Clearly visible</t>
  </si>
  <si>
    <t>2</t>
  </si>
  <si>
    <t>Profit &lt; 0</t>
  </si>
  <si>
    <t>Raw_Sales_Data Profit</t>
  </si>
  <si>
    <t>Highlight loss orders</t>
  </si>
  <si>
    <t>3</t>
  </si>
  <si>
    <t>Discount &gt;= 10%</t>
  </si>
  <si>
    <t>Raw_Sales_Data Discount</t>
  </si>
  <si>
    <t>Highlight heavy discounts</t>
  </si>
  <si>
    <t>Top 10 Revenue</t>
  </si>
  <si>
    <t>Revenue column</t>
  </si>
  <si>
    <t>Top 10 rule</t>
  </si>
  <si>
    <t>Top performers</t>
  </si>
  <si>
    <t>5</t>
  </si>
  <si>
    <t>Bottom 10 Profit</t>
  </si>
  <si>
    <t>Profit column</t>
  </si>
  <si>
    <t>Bottom 10 rule</t>
  </si>
  <si>
    <t>Weak performers</t>
  </si>
  <si>
    <t>6</t>
  </si>
  <si>
    <t>Duplicate Order_ID</t>
  </si>
  <si>
    <t>Order_ID column</t>
  </si>
  <si>
    <t>Duplicate values rule</t>
  </si>
  <si>
    <t>Duplicates</t>
  </si>
  <si>
    <t>7</t>
  </si>
  <si>
    <t>Data bars</t>
  </si>
  <si>
    <t>Add data bars</t>
  </si>
  <si>
    <t>Size comparison</t>
  </si>
  <si>
    <t>8</t>
  </si>
  <si>
    <t>Color scale</t>
  </si>
  <si>
    <t>3-color scale</t>
  </si>
  <si>
    <t>Low to high</t>
  </si>
  <si>
    <t>9</t>
  </si>
  <si>
    <t>Formula rule</t>
  </si>
  <si>
    <t>Entire sales row</t>
  </si>
  <si>
    <t>Revenue &gt; average revenue</t>
  </si>
  <si>
    <t>Highlight entire row</t>
  </si>
  <si>
    <t>10</t>
  </si>
  <si>
    <t>Weekend dates</t>
  </si>
  <si>
    <t>Use WEEKDAY formula</t>
  </si>
  <si>
    <t>Weekend rows</t>
  </si>
  <si>
    <t>Above target</t>
  </si>
  <si>
    <t>Create target column first</t>
  </si>
  <si>
    <t>Actual &gt; Target</t>
  </si>
  <si>
    <t>Positive variance</t>
  </si>
  <si>
    <t>12</t>
  </si>
  <si>
    <t>Below target</t>
  </si>
  <si>
    <t>Actual &lt; Target</t>
  </si>
  <si>
    <t>Negative variance</t>
  </si>
  <si>
    <t>Cleaning Task</t>
  </si>
  <si>
    <t>Why it matters</t>
  </si>
  <si>
    <t>Tool/Function</t>
  </si>
  <si>
    <t>Do it on Data_Cleaning sheet</t>
  </si>
  <si>
    <t>Remove leading/trailing spaces</t>
  </si>
  <si>
    <t>Prevents lookup mismatch</t>
  </si>
  <si>
    <t>Fix multiple spaces</t>
  </si>
  <si>
    <t>Standardize names</t>
  </si>
  <si>
    <t>Standardize city names</t>
  </si>
  <si>
    <t>Consistent reporting</t>
  </si>
  <si>
    <t>PROPER/UPPER</t>
  </si>
  <si>
    <t>Remove spaces and hyphens</t>
  </si>
  <si>
    <t>SUBSTITUTE</t>
  </si>
  <si>
    <t>Consistent email data</t>
  </si>
  <si>
    <t>Convert amount from text to number</t>
  </si>
  <si>
    <t>Enables calculations</t>
  </si>
  <si>
    <t>VALUE / multiply by 1</t>
  </si>
  <si>
    <t>Remove duplicate customer records</t>
  </si>
  <si>
    <t>Avoid double counting</t>
  </si>
  <si>
    <t>Remove Duplicates</t>
  </si>
  <si>
    <t>Whole table</t>
  </si>
  <si>
    <t>Find blank cells</t>
  </si>
  <si>
    <t>Data completeness</t>
  </si>
  <si>
    <t>Go To Special / Filter</t>
  </si>
  <si>
    <t>Find inconsistent product names</t>
  </si>
  <si>
    <t>Lookup consistency</t>
  </si>
  <si>
    <t>TRIM + compare</t>
  </si>
  <si>
    <t>Create a clean final table</t>
  </si>
  <si>
    <t>Reusable dataset</t>
  </si>
  <si>
    <t>Excel Table</t>
  </si>
  <si>
    <t>All cleaned columns</t>
  </si>
  <si>
    <t>Sort highest amount</t>
  </si>
  <si>
    <t>Analysis preparation</t>
  </si>
  <si>
    <t>Sort</t>
  </si>
  <si>
    <t>Filter Nashik customers</t>
  </si>
  <si>
    <t>Quick analysis</t>
  </si>
  <si>
    <t>Filter</t>
  </si>
  <si>
    <t>Scenario</t>
  </si>
  <si>
    <t>Rows</t>
  </si>
  <si>
    <t>Columns</t>
  </si>
  <si>
    <t>Values</t>
  </si>
  <si>
    <t>Filters/Slicers</t>
  </si>
  <si>
    <t>Extra Practice</t>
  </si>
  <si>
    <t>Sum Revenue</t>
  </si>
  <si>
    <t>Sort largest to smallest</t>
  </si>
  <si>
    <t>Sum Profit</t>
  </si>
  <si>
    <t>Show values as currency</t>
  </si>
  <si>
    <t>Monthly Revenue</t>
  </si>
  <si>
    <t>Group by Months</t>
  </si>
  <si>
    <t>Monthly Revenue by Region</t>
  </si>
  <si>
    <t>Group date by Months</t>
  </si>
  <si>
    <t>Salesperson Performance</t>
  </si>
  <si>
    <t>Sum Revenue, Sum Profit</t>
  </si>
  <si>
    <t>Add Profit Margin calculated field if available</t>
  </si>
  <si>
    <t>Customer Type</t>
  </si>
  <si>
    <t>Sum Revenue, Count Order_ID</t>
  </si>
  <si>
    <t>Compare Retail/Corporate/Wholesale</t>
  </si>
  <si>
    <t>Payment Mode</t>
  </si>
  <si>
    <t>Add percentage of grand total</t>
  </si>
  <si>
    <t>Top Products</t>
  </si>
  <si>
    <t>Sort descending; show Top 10</t>
  </si>
  <si>
    <t>Region × Category</t>
  </si>
  <si>
    <t>Heatmap with conditional formatting</t>
  </si>
  <si>
    <t>Profit by State</t>
  </si>
  <si>
    <t>Top 5 states</t>
  </si>
  <si>
    <t>Discount Analysis</t>
  </si>
  <si>
    <t>Group discount levels</t>
  </si>
  <si>
    <t>Manager MIS</t>
  </si>
  <si>
    <t>Revenue, Profit, Units</t>
  </si>
  <si>
    <t>Add Region filter</t>
  </si>
  <si>
    <t>13</t>
  </si>
  <si>
    <t>Dashboard Pivot</t>
  </si>
  <si>
    <t>Month</t>
  </si>
  <si>
    <t>Add slicers</t>
  </si>
  <si>
    <t>14</t>
  </si>
  <si>
    <t>Who is #1?</t>
  </si>
  <si>
    <t>Which region needs attention?</t>
  </si>
  <si>
    <t>Step</t>
  </si>
  <si>
    <t>Requirement</t>
  </si>
  <si>
    <t>Data Source</t>
  </si>
  <si>
    <t>What you must build</t>
  </si>
  <si>
    <t>Done?</t>
  </si>
  <si>
    <t>Total Revenue KPI</t>
  </si>
  <si>
    <t>Total Profit KPI</t>
  </si>
  <si>
    <t>Profit Margin KPI</t>
  </si>
  <si>
    <t>Total Orders KPI</t>
  </si>
  <si>
    <t>Pivot</t>
  </si>
  <si>
    <t>Column/Bar chart</t>
  </si>
  <si>
    <t>Bar chart</t>
  </si>
  <si>
    <t>Line chart</t>
  </si>
  <si>
    <t>Doughnut/Column chart</t>
  </si>
  <si>
    <t>Region filter</t>
  </si>
  <si>
    <t>Slicer</t>
  </si>
  <si>
    <t>Category filter</t>
  </si>
  <si>
    <t>Month filter</t>
  </si>
  <si>
    <t>Timeline if available</t>
  </si>
  <si>
    <t>Professional layout</t>
  </si>
  <si>
    <t>Titles, spacing, number formats</t>
  </si>
  <si>
    <t>Final test</t>
  </si>
  <si>
    <t>All</t>
  </si>
  <si>
    <t>Filter slicers and verify KPIs update</t>
  </si>
  <si>
    <t>Interview / Practical Question</t>
  </si>
  <si>
    <t>Your Answer / Formula</t>
  </si>
  <si>
    <t>Difficulty</t>
  </si>
  <si>
    <t>Easy</t>
  </si>
  <si>
    <t>Highest Revenue Order</t>
  </si>
  <si>
    <t>Lowest Profit Order</t>
  </si>
  <si>
    <t>Count Corporate Orders</t>
  </si>
  <si>
    <t>Count UPI Orders</t>
  </si>
  <si>
    <t>Revenue from West</t>
  </si>
  <si>
    <t>Profit from Electronics</t>
  </si>
  <si>
    <t>Average Revenue for Retail</t>
  </si>
  <si>
    <t>Orders with discount &gt;=10%</t>
  </si>
  <si>
    <t>Orders with revenue &gt; average</t>
  </si>
  <si>
    <t>Profit margin for each order</t>
  </si>
  <si>
    <t>Contribution % of each order</t>
  </si>
  <si>
    <t>Logical</t>
  </si>
  <si>
    <t>Profitable vs Loss</t>
  </si>
  <si>
    <t>High/Medium/Low order value</t>
  </si>
  <si>
    <t>High discount flag</t>
  </si>
  <si>
    <t>Revenue &gt; average AND profit positive</t>
  </si>
  <si>
    <t>West OR South flag</t>
  </si>
  <si>
    <t>Lookup</t>
  </si>
  <si>
    <t>Product to Category</t>
  </si>
  <si>
    <t>Product to Standard Price</t>
  </si>
  <si>
    <t>Product to Target Margin</t>
  </si>
  <si>
    <t>Product to Manager</t>
  </si>
  <si>
    <t>Missing product handling</t>
  </si>
  <si>
    <t>Reverse lookup manager to product</t>
  </si>
  <si>
    <t>Year</t>
  </si>
  <si>
    <t>Financial Year</t>
  </si>
  <si>
    <t>Month-end</t>
  </si>
  <si>
    <t>Medium</t>
  </si>
  <si>
    <t>Clean customer name</t>
  </si>
  <si>
    <t>Lowercase email</t>
  </si>
  <si>
    <t>Clean phone number</t>
  </si>
  <si>
    <t>Combine fields</t>
  </si>
  <si>
    <t>Unique salespeople</t>
  </si>
  <si>
    <t>Filter Electronics</t>
  </si>
  <si>
    <t>Sort products by price</t>
  </si>
  <si>
    <t>Top 5 products</t>
  </si>
  <si>
    <t>Conditional Formatting</t>
  </si>
  <si>
    <t>Negative profit</t>
  </si>
  <si>
    <t>Duplicate IDs</t>
  </si>
  <si>
    <t>Entire row based on formula</t>
  </si>
  <si>
    <t>Data Cleaning</t>
  </si>
  <si>
    <t>Find blanks</t>
  </si>
  <si>
    <t>Standardize text</t>
  </si>
  <si>
    <t>Convert text numbers</t>
  </si>
  <si>
    <t>Salesperson ranking</t>
  </si>
  <si>
    <t>Top 10 Products</t>
  </si>
  <si>
    <t>Customer Type analysis</t>
  </si>
  <si>
    <t>Payment Mode analysis</t>
  </si>
  <si>
    <t>Profit margin by category</t>
  </si>
  <si>
    <t>Monthly regional trend</t>
  </si>
  <si>
    <t>Build 5 KPI cards</t>
  </si>
  <si>
    <t>Build 4 charts</t>
  </si>
  <si>
    <t>Make dashboard filterable</t>
  </si>
  <si>
    <t>What-If</t>
  </si>
  <si>
    <t>Goal Seek for target profit</t>
  </si>
  <si>
    <t>Price +10% impact</t>
  </si>
  <si>
    <t>Hard</t>
  </si>
  <si>
    <t>Cost -8% impact</t>
  </si>
  <si>
    <t>Units +20% impact</t>
  </si>
  <si>
    <t>Best/Worst/Current scenarios</t>
  </si>
  <si>
    <t>SUMPRODUCT revenue</t>
  </si>
  <si>
    <t>SUBTOTAL filtered total</t>
  </si>
  <si>
    <t>RANK salesperson</t>
  </si>
  <si>
    <t>Top 5 with formulas</t>
  </si>
  <si>
    <t>Multiple-condition flag</t>
  </si>
  <si>
    <t>IFERROR lookup</t>
  </si>
  <si>
    <t>Dynamic report</t>
  </si>
  <si>
    <t>MIS</t>
  </si>
  <si>
    <t>Actual vs Target</t>
  </si>
  <si>
    <t>Variance %</t>
  </si>
  <si>
    <t>Monthly KPI</t>
  </si>
  <si>
    <t>Region KPI</t>
  </si>
  <si>
    <t>Salesperson KPI</t>
  </si>
  <si>
    <t>Category KPI</t>
  </si>
  <si>
    <t>Management summary</t>
  </si>
  <si>
    <t>Final</t>
  </si>
  <si>
    <t>One-page Sales MIS</t>
  </si>
  <si>
    <t>What it does</t>
  </si>
  <si>
    <t>Example / Note</t>
  </si>
  <si>
    <t>Adds revenue</t>
  </si>
  <si>
    <t>Total revenue</t>
  </si>
  <si>
    <t>Average revenue</t>
  </si>
  <si>
    <t>Average order value if one row = one order</t>
  </si>
  <si>
    <t>COUNT</t>
  </si>
  <si>
    <t>Counts numbers</t>
  </si>
  <si>
    <t>COUNTA</t>
  </si>
  <si>
    <t>Counts nonblank cells</t>
  </si>
  <si>
    <t>Condition</t>
  </si>
  <si>
    <t>Profit status</t>
  </si>
  <si>
    <t>Multiple conditions</t>
  </si>
  <si>
    <t>Both must be true</t>
  </si>
  <si>
    <t>Either condition</t>
  </si>
  <si>
    <t>At least one true</t>
  </si>
  <si>
    <t>One condition</t>
  </si>
  <si>
    <t>West revenue</t>
  </si>
  <si>
    <t>West Electronics revenue</t>
  </si>
  <si>
    <t>Count one condition</t>
  </si>
  <si>
    <t>High discount orders</t>
  </si>
  <si>
    <t>Count multiple conditions</t>
  </si>
  <si>
    <t>South corporate</t>
  </si>
  <si>
    <t>Average with one condition</t>
  </si>
  <si>
    <t>Electronics profit</t>
  </si>
  <si>
    <t>Average with multiple conditions</t>
  </si>
  <si>
    <t>West retail revenue</t>
  </si>
  <si>
    <t>Modern lookup</t>
  </si>
  <si>
    <t>Product → Category</t>
  </si>
  <si>
    <t>Classic lookup</t>
  </si>
  <si>
    <t>Product → Price</t>
  </si>
  <si>
    <t>Flexible lookup</t>
  </si>
  <si>
    <t>Product → Margin</t>
  </si>
  <si>
    <t>Handles errors</t>
  </si>
  <si>
    <t>Returns 0 if missing</t>
  </si>
  <si>
    <t>Year from date</t>
  </si>
  <si>
    <t>Month number</t>
  </si>
  <si>
    <t>Q1–Q4</t>
  </si>
  <si>
    <t>Apr-Mar FY</t>
  </si>
  <si>
    <t>Left characters</t>
  </si>
  <si>
    <t>ORD</t>
  </si>
  <si>
    <t>Right characters</t>
  </si>
  <si>
    <t>Last 2</t>
  </si>
  <si>
    <t>Middle characters</t>
  </si>
  <si>
    <t>Based on position</t>
  </si>
  <si>
    <t>Removes extra spaces</t>
  </si>
  <si>
    <t>Data cleaning</t>
  </si>
  <si>
    <t>Emails</t>
  </si>
  <si>
    <t>UPPER</t>
  </si>
  <si>
    <t>Names</t>
  </si>
  <si>
    <t>PROPER</t>
  </si>
  <si>
    <t>CONCAT</t>
  </si>
  <si>
    <t>Combines fields</t>
  </si>
  <si>
    <t>Salesperson - Region</t>
  </si>
  <si>
    <t>Array-style calculation</t>
  </si>
  <si>
    <t>Revenue after discount</t>
  </si>
  <si>
    <t>Works with filtered rows</t>
  </si>
  <si>
    <t>Visible revenue</t>
  </si>
  <si>
    <t>Unique list</t>
  </si>
  <si>
    <t>Salespeople</t>
  </si>
  <si>
    <t>Dynamic filter</t>
  </si>
  <si>
    <t>Electronics orders</t>
  </si>
  <si>
    <t>Sort dynamic range</t>
  </si>
  <si>
    <t>Price descending</t>
  </si>
  <si>
    <t>Share of total</t>
  </si>
  <si>
    <t>Format as %</t>
  </si>
  <si>
    <t>Sum of Revenue</t>
  </si>
  <si>
    <t>Row Labels</t>
  </si>
  <si>
    <t>Grand Total</t>
  </si>
  <si>
    <t>Sum of Profit</t>
  </si>
  <si>
    <t>Jan</t>
  </si>
  <si>
    <t>Feb</t>
  </si>
  <si>
    <t>Mar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</si>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</sst>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dd\-mmm\-yyyy"/>
    <numFmt numFmtId="165" formatCode="\₹#,##0.00"/>
    <numFmt numFmtId="166" formatCode="\₹#,##0"/>
    <numFmt numFmtId="167" formatCode="_ [$₹-4009]\ * #,##0.00_ ;_ [$₹-4009]\ * \-#,##0.00_ ;_ [$₹-4009]\ * &quot;-&quot;??_ ;_ @_ "/>
    <numFmt numFmtId="168" formatCode="&quot;₹&quot;\ #,##0.00"/>
  </numFmts>
  <fonts count="5" x14ac:knownFonts="1">
    <font>
      <sz val="11"/>
      <color theme="1"/>
      <name val="Calibri"/>
      <family val="2"/>
      <scheme val="minor"/>
    </font>
    <font>
      <b/>
      <sz val="16"/>
      <color rgb="FFFFFFFF"/>
      <name val="Calibri"/>
    </font>
    <font>
      <b/>
      <sz val="11"/>
      <color rgb="FFFFFFFF"/>
      <name val="Calibri"/>
    </font>
    <font>
      <b/>
      <sz val="14"/>
      <name val="Calibri"/>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44" fontId="4" fillId="0" borderId="0" applyFont="0" applyFill="0" applyBorder="0" applyAlignment="0" applyProtection="0"/>
  </cellStyleXfs>
  <cellXfs count="26">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2" fillId="2" borderId="0" xfId="0" applyFont="1" applyFill="1" applyAlignment="1">
      <alignment vertical="center" wrapText="1"/>
    </xf>
    <xf numFmtId="0" fontId="0" fillId="0" borderId="0" xfId="0" applyAlignment="1">
      <alignment vertical="center" wrapText="1"/>
    </xf>
    <xf numFmtId="164" fontId="0" fillId="0" borderId="0" xfId="0" applyNumberFormat="1" applyAlignment="1">
      <alignment vertical="center" wrapText="1"/>
    </xf>
    <xf numFmtId="165" fontId="0" fillId="0" borderId="0" xfId="0" applyNumberFormat="1" applyAlignment="1">
      <alignment vertical="center" wrapText="1"/>
    </xf>
    <xf numFmtId="9" fontId="0" fillId="0" borderId="0" xfId="0" applyNumberFormat="1" applyAlignment="1">
      <alignment vertical="center" wrapText="1"/>
    </xf>
    <xf numFmtId="166" fontId="0" fillId="0" borderId="0" xfId="0" applyNumberFormat="1" applyAlignment="1">
      <alignment vertical="center" wrapText="1"/>
    </xf>
    <xf numFmtId="10" fontId="0" fillId="0" borderId="0" xfId="0" applyNumberFormat="1" applyAlignment="1">
      <alignment vertical="center" wrapText="1"/>
    </xf>
    <xf numFmtId="0" fontId="3" fillId="3" borderId="0" xfId="0" applyFont="1" applyFill="1"/>
    <xf numFmtId="0" fontId="2" fillId="2" borderId="1" xfId="0" applyFont="1" applyFill="1" applyBorder="1" applyAlignment="1">
      <alignment vertical="top" wrapText="1"/>
    </xf>
    <xf numFmtId="0" fontId="0" fillId="0" borderId="1" xfId="0" applyBorder="1" applyAlignment="1">
      <alignment vertical="top" wrapText="1"/>
    </xf>
    <xf numFmtId="0" fontId="2" fillId="2" borderId="0" xfId="0" applyFont="1" applyFill="1"/>
    <xf numFmtId="167" fontId="0" fillId="0" borderId="0" xfId="0" applyNumberFormat="1" applyAlignment="1">
      <alignment vertical="center" wrapText="1"/>
    </xf>
    <xf numFmtId="14" fontId="0" fillId="0" borderId="0" xfId="0" applyNumberFormat="1" applyAlignment="1">
      <alignment vertical="center" wrapText="1"/>
    </xf>
    <xf numFmtId="165" fontId="0" fillId="0" borderId="1" xfId="0" applyNumberFormat="1" applyBorder="1" applyAlignment="1">
      <alignment vertical="top" wrapText="1"/>
    </xf>
    <xf numFmtId="168" fontId="0" fillId="0" borderId="1" xfId="1" applyNumberFormat="1" applyFont="1" applyBorder="1" applyAlignment="1">
      <alignment vertical="top" wrapText="1"/>
    </xf>
    <xf numFmtId="168" fontId="0" fillId="0" borderId="1" xfId="0" applyNumberFormat="1" applyBorder="1" applyAlignment="1">
      <alignment vertical="top" wrapText="1"/>
    </xf>
    <xf numFmtId="14" fontId="0" fillId="0" borderId="1" xfId="0" applyNumberFormat="1" applyBorder="1" applyAlignment="1">
      <alignment vertical="top" wrapText="1"/>
    </xf>
    <xf numFmtId="0" fontId="0" fillId="0" borderId="0" xfId="0" applyAlignment="1">
      <alignment wrapText="1"/>
    </xf>
    <xf numFmtId="0" fontId="0" fillId="0" borderId="0" xfId="0"/>
    <xf numFmtId="165"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2">
    <cellStyle name="Currency" xfId="1" builtinId="4"/>
    <cellStyle name="Normal" xfId="0" builtinId="0"/>
  </cellStyles>
  <dxfs count="60">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[Advanced_Excel_DETAILED_Job_Practice.xlsx]Dashboard!PivotTable3</c:name>
    <c:fmtId val="17"/>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Dashboard!$T$15</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Dashboard!$S$16:$S$28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Dashboard!$T$16:$T$28</c:f>
              <c:numCache>
                <c:formatCode>"₹"\ #,##0.00</c:formatCode>
                <c:ptCount val="12"/>
                <c:pt idx="0">
                  <c:v>2524922</c:v>
                </c:pt>
                <c:pt idx="1">
                  <c:v>1249596</c:v>
                </c:pt>
                <c:pt idx="2">
                  <c:v>2533755</c:v>
                </c:pt>
                <c:pt idx="3">
                  <c:v>1409463</c:v>
                </c:pt>
                <c:pt idx="4">
                  <c:v>1586837</c:v>
                </c:pt>
                <c:pt idx="5">
                  <c:v>2248515</c:v>
                </c:pt>
                <c:pt idx="6">
                  <c:v>2709489.5</c:v>
                </c:pt>
                <c:pt idx="7">
                  <c:v>2872099</c:v>
                </c:pt>
                <c:pt idx="8">
                  <c:v>2012981.5</c:v>
                </c:pt>
                <c:pt idx="9">
                  <c:v>2822996</c:v>
                </c:pt>
                <c:pt idx="10">
                  <c:v>1869562</c:v>
                </c:pt>
                <c:pt idx="11">
                  <c:v>1007143</c:v>
                </c:pt>
              </c:numCache>
            </c:numRef>
          </c:val>
          <c:smooth val="0"/>
          <c:extLst>
            <c:ext xmlns:c16="http://schemas.microsoft.com/office/drawing/2014/chart" uri="{C3380CC4-5D6E-409C-BE32-E72D297353CC}">
              <c16:uniqueId val="{00000000-1BBF-481A-B428-8B2F3453CFCB}"/>
            </c:ext>
          </c:extLst>
        </c:ser>
        <c:dLbls>
          <c:showLegendKey val="0"/>
          <c:showVal val="0"/>
          <c:showCatName val="0"/>
          <c:showSerName val="0"/>
          <c:showPercent val="0"/>
          <c:showBubbleSize val="0"/>
        </c:dLbls>
        <c:marker val="1"/>
        <c:smooth val="0"/>
        <c:axId val="843039519"/>
        <c:axId val="679921039"/>
      </c:lineChart>
      <c:catAx>
        <c:axId val="84303951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79921039"/>
        <c:crosses val="autoZero"/>
        <c:auto val="1"/>
        <c:lblAlgn val="ctr"/>
        <c:lblOffset val="100"/>
        <c:noMultiLvlLbl val="0"/>
      </c:catAx>
      <c:valAx>
        <c:axId val="67992103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4303951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[Advanced_Excel_DETAILED_Job_Practice.xlsx]Dashboard!PivotTable5</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Dashboard!$T$36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Dashboard!$S$37:$S$42</c:f>
              <c:strCache>
                <c:ptCount val="5"/>
                <c:pt idx="0">
                  <c:v>Cabinet</c:v>
                </c:pt>
                <c:pt idx="1">
                  <c:v>Desk</c:v>
                </c:pt>
                <c:pt idx="2">
                  <c:v>Laptop</c:v>
                </c:pt>
                <c:pt idx="3">
                  <c:v>Monitor</c:v>
                </c:pt>
                <c:pt idx="4">
                  <c:v>Printer</c:v>
                </c:pt>
              </c:strCache>
            </c:strRef>
          </c:cat>
          <c:val>
            <c:numRef>
              <c:f>Dashboard!$T$37:$T$42</c:f>
              <c:numCache>
                <c:formatCode>"₹"\ #,##0.00</c:formatCode>
                <c:ptCount val="5"/>
                <c:pt idx="0">
                  <c:v>2137600</c:v>
                </c:pt>
                <c:pt idx="1">
                  <c:v>2286350</c:v>
                </c:pt>
                <c:pt idx="2">
                  <c:v>10032000</c:v>
                </c:pt>
                <c:pt idx="3">
                  <c:v>2310000</c:v>
                </c:pt>
                <c:pt idx="4">
                  <c:v>2191950</c:v>
                </c:pt>
              </c:numCache>
            </c:numRef>
          </c:val>
          <c:extLst>
            <c:ext xmlns:c16="http://schemas.microsoft.com/office/drawing/2014/chart" uri="{C3380CC4-5D6E-409C-BE32-E72D297353CC}">
              <c16:uniqueId val="{00000000-C4B5-4F62-ABA9-85C1D3643E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[Advanced_Excel_DETAILED_Job_Practice.xlsx]Dashboard!PivotTable4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Dashboard!$T$30</c:f>
              <c:strCache>
                <c:ptCount val="1"/>
                <c:pt idx="0">
                  <c:v>Total</c:v>
                </c:pt>
              </c:strCache>
            </c:strRef>
          </c:tx>
          <c:spPr>
            <a:solidFill>
              <a:schemeClr val="accent1"/>
            </a:solidFill>
            <a:ln>
              <a:noFill/>
            </a:ln>
            <a:effectLst/>
          </c:spPr>
          <c:invertIfNegative val="0"/>
          <c:cat>
            <c:strRef>
              <c:f>Dashboard!$S$31:$S$34</c:f>
              <c:strCache>
                <c:ptCount val="3"/>
                <c:pt idx="0">
                  <c:v>Corporate</c:v>
                </c:pt>
                <c:pt idx="1">
                  <c:v>Retail</c:v>
                </c:pt>
                <c:pt idx="2">
                  <c:v>Wholesale</c:v>
                </c:pt>
              </c:strCache>
            </c:strRef>
          </c:cat>
          <c:val>
            <c:numRef>
              <c:f>Dashboard!$T$31:$T$34</c:f>
              <c:numCache>
                <c:formatCode>"₹"\ #,##0.00</c:formatCode>
                <c:ptCount val="3"/>
                <c:pt idx="0">
                  <c:v>7694756</c:v>
                </c:pt>
                <c:pt idx="1">
                  <c:v>7113981.5</c:v>
                </c:pt>
                <c:pt idx="2">
                  <c:v>10038621.5</c:v>
                </c:pt>
              </c:numCache>
            </c:numRef>
          </c:val>
          <c:extLst>
            <c:ext xmlns:c16="http://schemas.microsoft.com/office/drawing/2014/chart" uri="{C3380CC4-5D6E-409C-BE32-E72D297353CC}">
              <c16:uniqueId val="{00000000-BD42-4EED-9726-78084CA5CBFB}"/>
            </c:ext>
          </c:extLst>
        </c:ser>
        <c:dLbls>
          <c:showLegendKey val="0"/>
          <c:showVal val="0"/>
          <c:showCatName val="0"/>
          <c:showSerName val="0"/>
          <c:showPercent val="0"/>
          <c:showBubbleSize val="0"/>
        </c:dLbls>
        <c:gapWidth val="182"/>
        <c:axId val="873488351"/>
        <c:axId val="877421647"/>
      </c:barChart>
      <c:catAx>
        <c:axId val="87348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21647"/>
        <c:crosses val="autoZero"/>
        <c:auto val="1"/>
        <c:lblAlgn val="ctr"/>
        <c:lblOffset val="100"/>
        <c:noMultiLvlLbl val="0"/>
      </c:catAx>
      <c:valAx>
        <c:axId val="8774216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4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[Advanced_Excel_DETAILED_Job_Practice.xlsx]Dashboard!PivotTable1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Dashboard!$T$1</c:f>
              <c:strCache>
                <c:ptCount val="1"/>
                <c:pt idx="0">
                  <c:v>Total</c:v>
                </c:pt>
              </c:strCache>
            </c:strRef>
          </c:tx>
          <c:spPr>
            <a:solidFill>
              <a:schemeClr val="accent1"/>
            </a:solidFill>
            <a:ln>
              <a:noFill/>
            </a:ln>
            <a:effectLst/>
          </c:spPr>
          <c:invertIfNegative val="0"/>
          <c:cat>
            <c:strRef>
              <c:f>Dashboard!$S$2:$S$6</c:f>
              <c:strCache>
                <c:ptCount val="4"/>
                <c:pt idx="0">
                  <c:v>East</c:v>
                </c:pt>
                <c:pt idx="1">
                  <c:v>North</c:v>
                </c:pt>
                <c:pt idx="2">
                  <c:v>South</c:v>
                </c:pt>
                <c:pt idx="3">
                  <c:v>West</c:v>
                </c:pt>
              </c:strCache>
            </c:strRef>
          </c:cat>
          <c:val>
            <c:numRef>
              <c:f>Dashboard!$T$2:$T$6</c:f>
              <c:numCache>
                <c:formatCode>\₹#,##0.00</c:formatCode>
                <c:ptCount val="4"/>
                <c:pt idx="0">
                  <c:v>6903819.5</c:v>
                </c:pt>
                <c:pt idx="1">
                  <c:v>7049343.5</c:v>
                </c:pt>
                <c:pt idx="2">
                  <c:v>3697255.5</c:v>
                </c:pt>
                <c:pt idx="3">
                  <c:v>7196940.5</c:v>
                </c:pt>
              </c:numCache>
            </c:numRef>
          </c:val>
          <c:extLst>
            <c:ext xmlns:c16="http://schemas.microsoft.com/office/drawing/2014/chart" uri="{C3380CC4-5D6E-409C-BE32-E72D297353CC}">
              <c16:uniqueId val="{00000000-F2F6-4723-BBB6-58F4A121A071}"/>
            </c:ext>
          </c:extLst>
        </c:ser>
        <c:dLbls>
          <c:showLegendKey val="0"/>
          <c:showVal val="0"/>
          <c:showCatName val="0"/>
          <c:showSerName val="0"/>
          <c:showPercent val="0"/>
          <c:showBubbleSize val="0"/>
        </c:dLbls>
        <c:gapWidth val="219"/>
        <c:overlap val="-27"/>
        <c:axId val="716170223"/>
        <c:axId val="588003311"/>
      </c:barChart>
      <c:catAx>
        <c:axId val="7161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003311"/>
        <c:crosses val="autoZero"/>
        <c:auto val="1"/>
        <c:lblAlgn val="ctr"/>
        <c:lblOffset val="100"/>
        <c:noMultiLvlLbl val="0"/>
      </c:catAx>
      <c:valAx>
        <c:axId val="58800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7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[Advanced_Excel_DETAILED_Job_Practice.xlsx]Dashboard!PivotTable2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Dashboard!$T$8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Dashboard!$S$9:$S$13</c:f>
              <c:strCache>
                <c:ptCount val="4"/>
                <c:pt idx="0">
                  <c:v>Accessories</c:v>
                </c:pt>
                <c:pt idx="1">
                  <c:v>Electronics</c:v>
                </c:pt>
                <c:pt idx="2">
                  <c:v>Furniture</c:v>
                </c:pt>
                <c:pt idx="3">
                  <c:v>Office Supplies</c:v>
                </c:pt>
              </c:strCache>
            </c:strRef>
          </c:cat>
          <c:val>
            <c:numRef>
              <c:f>Dashboard!$T$9:$T$13</c:f>
              <c:numCache>
                <c:formatCode>"₹"\ #,##0.00</c:formatCode>
                <c:ptCount val="4"/>
                <c:pt idx="0">
                  <c:v>580255.93483636691</c:v>
                </c:pt>
                <c:pt idx="1">
                  <c:v>4459988.1376364604</c:v>
                </c:pt>
                <c:pt idx="2">
                  <c:v>2353780.0206110771</c:v>
                </c:pt>
                <c:pt idx="3">
                  <c:v>40179.001025647529</c:v>
                </c:pt>
              </c:numCache>
            </c:numRef>
          </c:val>
          <c:extLst>
            <c:ext xmlns:c16="http://schemas.microsoft.com/office/drawing/2014/chart" uri="{C3380CC4-5D6E-409C-BE32-E72D297353CC}">
              <c16:uniqueId val="{00000000-5D20-49DD-A640-1E02FBDBDF4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309253</xdr:colOff>
      <xdr:row>52</xdr:row>
      <xdr:rowOff>113224</xdr:rowOff>
    </xdr:to>
    <xdr:sp macro="" textlink="">
      <xdr:nvSpPr>
        <xdr:cNvPr id="7" name="Rectangle 6">
          <a:extLst>
            <a:ext uri="{FF2B5EF4-FFF2-40B4-BE49-F238E27FC236}">
              <a16:creationId xmlns:a16="http://schemas.microsoft.com/office/drawing/2014/main" id="{629C72BD-2380-A987-B775-0C944B9AFD77}"/>
            </a:ext>
          </a:extLst>
        </xdr:cNvPr>
        <xdr:cNvSpPr/>
      </xdr:nvSpPr>
      <xdr:spPr>
        <a:xfrm>
          <a:off x="0" y="0"/>
          <a:ext cx="9487889" cy="98691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87145</xdr:colOff>
      <xdr:row>3</xdr:row>
      <xdr:rowOff>40315</xdr:rowOff>
    </xdr:from>
    <xdr:to>
      <xdr:col>11</xdr:col>
      <xdr:colOff>240504</xdr:colOff>
      <xdr:row>51</xdr:row>
      <xdr:rowOff>119064</xdr:rowOff>
    </xdr:to>
    <xdr:grpSp>
      <xdr:nvGrpSpPr>
        <xdr:cNvPr id="18" name="Group 17">
          <a:extLst>
            <a:ext uri="{FF2B5EF4-FFF2-40B4-BE49-F238E27FC236}">
              <a16:creationId xmlns:a16="http://schemas.microsoft.com/office/drawing/2014/main" id="{553D4274-5F03-00DE-F8B6-F65EA21035AE}"/>
            </a:ext>
          </a:extLst>
        </xdr:cNvPr>
        <xdr:cNvGrpSpPr/>
      </xdr:nvGrpSpPr>
      <xdr:grpSpPr>
        <a:xfrm>
          <a:off x="87145" y="620098"/>
          <a:ext cx="9347055" cy="9355270"/>
          <a:chOff x="87145" y="603156"/>
          <a:chExt cx="9332066" cy="9084202"/>
        </a:xfrm>
      </xdr:grpSpPr>
      <xdr:grpSp>
        <xdr:nvGrpSpPr>
          <xdr:cNvPr id="9" name="Group 8">
            <a:extLst>
              <a:ext uri="{FF2B5EF4-FFF2-40B4-BE49-F238E27FC236}">
                <a16:creationId xmlns:a16="http://schemas.microsoft.com/office/drawing/2014/main" id="{FEDE9A2B-6B89-8261-9137-76C48577C7E5}"/>
              </a:ext>
            </a:extLst>
          </xdr:cNvPr>
          <xdr:cNvGrpSpPr/>
        </xdr:nvGrpSpPr>
        <xdr:grpSpPr>
          <a:xfrm>
            <a:off x="87145" y="1302866"/>
            <a:ext cx="9320498" cy="8384492"/>
            <a:chOff x="114627" y="1117411"/>
            <a:chExt cx="9269584" cy="8514378"/>
          </a:xfrm>
        </xdr:grpSpPr>
        <xdr:graphicFrame macro="">
          <xdr:nvGraphicFramePr>
            <xdr:cNvPr id="4" name="Chart 3">
              <a:extLst>
                <a:ext uri="{FF2B5EF4-FFF2-40B4-BE49-F238E27FC236}">
                  <a16:creationId xmlns:a16="http://schemas.microsoft.com/office/drawing/2014/main" id="{CF425B4F-9386-EE53-1B7C-005F2FC37A40}"/>
                </a:ext>
              </a:extLst>
            </xdr:cNvPr>
            <xdr:cNvGraphicFramePr/>
          </xdr:nvGraphicFramePr>
          <xdr:xfrm>
            <a:off x="121166" y="1117411"/>
            <a:ext cx="9263045" cy="272198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730ECD4F-73C6-A17D-1ACD-BAAE164D20BC}"/>
                </a:ext>
              </a:extLst>
            </xdr:cNvPr>
            <xdr:cNvGraphicFramePr/>
          </xdr:nvGraphicFramePr>
          <xdr:xfrm>
            <a:off x="117517" y="6814369"/>
            <a:ext cx="4587718" cy="28174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197F5D19-4410-6EC1-5F16-A362F6A8F918}"/>
                </a:ext>
              </a:extLst>
            </xdr:cNvPr>
            <xdr:cNvGraphicFramePr/>
          </xdr:nvGraphicFramePr>
          <xdr:xfrm>
            <a:off x="4789894" y="3912336"/>
            <a:ext cx="4551080" cy="281247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 name="Chart 1">
              <a:extLst>
                <a:ext uri="{FF2B5EF4-FFF2-40B4-BE49-F238E27FC236}">
                  <a16:creationId xmlns:a16="http://schemas.microsoft.com/office/drawing/2014/main" id="{1639075E-4221-C07E-E31D-A78DE1C80434}"/>
                </a:ext>
              </a:extLst>
            </xdr:cNvPr>
            <xdr:cNvGraphicFramePr/>
          </xdr:nvGraphicFramePr>
          <xdr:xfrm>
            <a:off x="114627" y="3918830"/>
            <a:ext cx="4597147" cy="281488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 name="Chart 2">
              <a:extLst>
                <a:ext uri="{FF2B5EF4-FFF2-40B4-BE49-F238E27FC236}">
                  <a16:creationId xmlns:a16="http://schemas.microsoft.com/office/drawing/2014/main" id="{FC54A1A8-3C6F-77CE-F952-820961D0E323}"/>
                </a:ext>
              </a:extLst>
            </xdr:cNvPr>
            <xdr:cNvGraphicFramePr/>
          </xdr:nvGraphicFramePr>
          <xdr:xfrm>
            <a:off x="4793603" y="6790766"/>
            <a:ext cx="4559141" cy="2835088"/>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20C05DF-BF0C-9654-A717-D805E3AC0906}"/>
                  </a:ext>
                </a:extLst>
              </xdr:cNvPr>
              <xdr:cNvGraphicFramePr/>
            </xdr:nvGraphicFramePr>
            <xdr:xfrm>
              <a:off x="6270607" y="603156"/>
              <a:ext cx="3148604" cy="66629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80539" y="620098"/>
                <a:ext cx="3153661" cy="686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 name="Rectangle 10">
            <a:extLst>
              <a:ext uri="{FF2B5EF4-FFF2-40B4-BE49-F238E27FC236}">
                <a16:creationId xmlns:a16="http://schemas.microsoft.com/office/drawing/2014/main" id="{279FC713-1961-9F5F-483A-EDF2154AEAD6}"/>
              </a:ext>
            </a:extLst>
          </xdr:cNvPr>
          <xdr:cNvSpPr/>
        </xdr:nvSpPr>
        <xdr:spPr>
          <a:xfrm>
            <a:off x="91966" y="615393"/>
            <a:ext cx="6125659" cy="64166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164224</xdr:colOff>
      <xdr:row>5</xdr:row>
      <xdr:rowOff>0</xdr:rowOff>
    </xdr:from>
    <xdr:to>
      <xdr:col>1</xdr:col>
      <xdr:colOff>512380</xdr:colOff>
      <xdr:row>6</xdr:row>
      <xdr:rowOff>98535</xdr:rowOff>
    </xdr:to>
    <xdr:sp macro="" textlink="Dashboard_Data!B2">
      <xdr:nvSpPr>
        <xdr:cNvPr id="14" name="Rectangle 13">
          <a:extLst>
            <a:ext uri="{FF2B5EF4-FFF2-40B4-BE49-F238E27FC236}">
              <a16:creationId xmlns:a16="http://schemas.microsoft.com/office/drawing/2014/main" id="{38853142-04C1-4756-92D1-20CE73526C3B}"/>
            </a:ext>
          </a:extLst>
        </xdr:cNvPr>
        <xdr:cNvSpPr/>
      </xdr:nvSpPr>
      <xdr:spPr>
        <a:xfrm>
          <a:off x="164224" y="952500"/>
          <a:ext cx="1445173" cy="289035"/>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97505A-6206-4483-A8E0-4ECEEFFCE216}" type="TxLink">
            <a:rPr lang="en-US" sz="1100" b="0" i="0" u="none" strike="noStrike">
              <a:solidFill>
                <a:srgbClr val="000000"/>
              </a:solidFill>
              <a:latin typeface="Calibri"/>
              <a:ea typeface="Calibri"/>
              <a:cs typeface="Calibri"/>
            </a:rPr>
            <a:pPr algn="ctr"/>
            <a:t> ₹ 2,48,47,359.00 </a:t>
          </a:fld>
          <a:endParaRPr lang="en-IN" sz="1100"/>
        </a:p>
      </xdr:txBody>
    </xdr:sp>
    <xdr:clientData/>
  </xdr:twoCellAnchor>
  <xdr:twoCellAnchor>
    <xdr:from>
      <xdr:col>1</xdr:col>
      <xdr:colOff>585952</xdr:colOff>
      <xdr:row>5</xdr:row>
      <xdr:rowOff>1313</xdr:rowOff>
    </xdr:from>
    <xdr:to>
      <xdr:col>2</xdr:col>
      <xdr:colOff>947245</xdr:colOff>
      <xdr:row>6</xdr:row>
      <xdr:rowOff>99848</xdr:rowOff>
    </xdr:to>
    <xdr:sp macro="" textlink="Dashboard_Data!B3">
      <xdr:nvSpPr>
        <xdr:cNvPr id="15" name="Rectangle 14">
          <a:extLst>
            <a:ext uri="{FF2B5EF4-FFF2-40B4-BE49-F238E27FC236}">
              <a16:creationId xmlns:a16="http://schemas.microsoft.com/office/drawing/2014/main" id="{F6C81672-0574-4468-B287-C308BD80825A}"/>
            </a:ext>
          </a:extLst>
        </xdr:cNvPr>
        <xdr:cNvSpPr/>
      </xdr:nvSpPr>
      <xdr:spPr>
        <a:xfrm>
          <a:off x="1682969" y="953813"/>
          <a:ext cx="1445173" cy="289035"/>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E194B1-CA4D-43F1-BB98-2BC572814FA2}" type="TxLink">
            <a:rPr lang="en-US" sz="1100" b="0" i="0" u="none" strike="noStrike">
              <a:solidFill>
                <a:srgbClr val="000000"/>
              </a:solidFill>
              <a:latin typeface="Calibri"/>
              <a:ea typeface="Calibri"/>
              <a:cs typeface="Calibri"/>
            </a:rPr>
            <a:pPr algn="ctr"/>
            <a:t>₹1,74,13,155.91</a:t>
          </a:fld>
          <a:endParaRPr lang="en-IN" sz="1100"/>
        </a:p>
      </xdr:txBody>
    </xdr:sp>
    <xdr:clientData/>
  </xdr:twoCellAnchor>
  <xdr:twoCellAnchor>
    <xdr:from>
      <xdr:col>4</xdr:col>
      <xdr:colOff>600404</xdr:colOff>
      <xdr:row>4</xdr:row>
      <xdr:rowOff>186559</xdr:rowOff>
    </xdr:from>
    <xdr:to>
      <xdr:col>6</xdr:col>
      <xdr:colOff>35473</xdr:colOff>
      <xdr:row>6</xdr:row>
      <xdr:rowOff>94594</xdr:rowOff>
    </xdr:to>
    <xdr:sp macro="" textlink="Dashboard_Data!B5">
      <xdr:nvSpPr>
        <xdr:cNvPr id="16" name="Rectangle 15">
          <a:extLst>
            <a:ext uri="{FF2B5EF4-FFF2-40B4-BE49-F238E27FC236}">
              <a16:creationId xmlns:a16="http://schemas.microsoft.com/office/drawing/2014/main" id="{1E379203-FD80-41DC-8BC6-A0022DDAA391}"/>
            </a:ext>
          </a:extLst>
        </xdr:cNvPr>
        <xdr:cNvSpPr/>
      </xdr:nvSpPr>
      <xdr:spPr>
        <a:xfrm>
          <a:off x="4725714" y="948559"/>
          <a:ext cx="1445173" cy="289035"/>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FBA32F-4DD9-4102-ACE6-DCD62177FBE3}" type="TxLink">
            <a:rPr lang="en-US" sz="1100" b="0" i="0" u="none" strike="noStrike">
              <a:solidFill>
                <a:srgbClr val="000000"/>
              </a:solidFill>
              <a:latin typeface="Calibri"/>
              <a:ea typeface="Calibri"/>
              <a:cs typeface="Calibri"/>
            </a:rPr>
            <a:pPr algn="ctr"/>
            <a:t>29.92%</a:t>
          </a:fld>
          <a:endParaRPr lang="en-IN" sz="1100"/>
        </a:p>
      </xdr:txBody>
    </xdr:sp>
    <xdr:clientData/>
  </xdr:twoCellAnchor>
  <xdr:twoCellAnchor>
    <xdr:from>
      <xdr:col>3</xdr:col>
      <xdr:colOff>56495</xdr:colOff>
      <xdr:row>4</xdr:row>
      <xdr:rowOff>187872</xdr:rowOff>
    </xdr:from>
    <xdr:to>
      <xdr:col>4</xdr:col>
      <xdr:colOff>529461</xdr:colOff>
      <xdr:row>6</xdr:row>
      <xdr:rowOff>95907</xdr:rowOff>
    </xdr:to>
    <xdr:sp macro="" textlink="Dashboard_Data!B6">
      <xdr:nvSpPr>
        <xdr:cNvPr id="17" name="Rectangle 16">
          <a:extLst>
            <a:ext uri="{FF2B5EF4-FFF2-40B4-BE49-F238E27FC236}">
              <a16:creationId xmlns:a16="http://schemas.microsoft.com/office/drawing/2014/main" id="{7797A61B-2C58-4ED4-A859-5554528C9C2D}"/>
            </a:ext>
          </a:extLst>
        </xdr:cNvPr>
        <xdr:cNvSpPr/>
      </xdr:nvSpPr>
      <xdr:spPr>
        <a:xfrm>
          <a:off x="3209598" y="949872"/>
          <a:ext cx="1445173" cy="289035"/>
        </a:xfrm>
        <a:prstGeom prst="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ADC229C-32E8-401F-BFC5-F617D666FC6D}" type="TxLink">
            <a:rPr lang="en-US" sz="1100" b="0" i="0" u="none" strike="noStrike">
              <a:solidFill>
                <a:srgbClr val="000000"/>
              </a:solidFill>
              <a:latin typeface="Calibri"/>
              <a:ea typeface="Calibri"/>
              <a:cs typeface="Calibri"/>
            </a:rPr>
            <a:pPr algn="ctr"/>
            <a:t>500</a:t>
          </a:fld>
          <a:endParaRPr lang="en-IN" sz="1100"/>
        </a:p>
      </xdr:txBody>
    </xdr:sp>
    <xdr:clientData/>
  </xdr:twoCellAnchor>
  <xdr:twoCellAnchor>
    <xdr:from>
      <xdr:col>0</xdr:col>
      <xdr:colOff>83344</xdr:colOff>
      <xdr:row>0</xdr:row>
      <xdr:rowOff>86591</xdr:rowOff>
    </xdr:from>
    <xdr:to>
      <xdr:col>11</xdr:col>
      <xdr:colOff>230909</xdr:colOff>
      <xdr:row>2</xdr:row>
      <xdr:rowOff>169069</xdr:rowOff>
    </xdr:to>
    <xdr:sp macro="" textlink="">
      <xdr:nvSpPr>
        <xdr:cNvPr id="19" name="TextBox 18">
          <a:extLst>
            <a:ext uri="{FF2B5EF4-FFF2-40B4-BE49-F238E27FC236}">
              <a16:creationId xmlns:a16="http://schemas.microsoft.com/office/drawing/2014/main" id="{51E318F0-E1C5-E3C4-1A41-49BAE70C04D0}"/>
            </a:ext>
          </a:extLst>
        </xdr:cNvPr>
        <xdr:cNvSpPr txBox="1"/>
      </xdr:nvSpPr>
      <xdr:spPr>
        <a:xfrm>
          <a:off x="83344" y="86591"/>
          <a:ext cx="9348715" cy="463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Calisto MT" panose="02040603050505030304" pitchFamily="18" charset="0"/>
            </a:rPr>
            <a:t>DASHBOARD</a:t>
          </a:r>
          <a:r>
            <a:rPr lang="en-IN" sz="2400" b="1" baseline="0">
              <a:latin typeface="Calisto MT" panose="02040603050505030304" pitchFamily="18" charset="0"/>
            </a:rPr>
            <a:t> OF SALES DATA </a:t>
          </a:r>
          <a:endParaRPr lang="en-IN" sz="2400" b="1">
            <a:latin typeface="Calisto MT" panose="02040603050505030304" pitchFamily="18" charset="0"/>
          </a:endParaRPr>
        </a:p>
      </xdr:txBody>
    </xdr:sp>
    <xdr:clientData/>
  </xdr:twoCellAnchor>
  <xdr:twoCellAnchor>
    <xdr:from>
      <xdr:col>0</xdr:col>
      <xdr:colOff>156741</xdr:colOff>
      <xdr:row>3</xdr:row>
      <xdr:rowOff>84399</xdr:rowOff>
    </xdr:from>
    <xdr:to>
      <xdr:col>1</xdr:col>
      <xdr:colOff>530506</xdr:colOff>
      <xdr:row>4</xdr:row>
      <xdr:rowOff>156740</xdr:rowOff>
    </xdr:to>
    <xdr:sp macro="" textlink="Dashboard_Data!A2">
      <xdr:nvSpPr>
        <xdr:cNvPr id="20" name="TextBox 19">
          <a:extLst>
            <a:ext uri="{FF2B5EF4-FFF2-40B4-BE49-F238E27FC236}">
              <a16:creationId xmlns:a16="http://schemas.microsoft.com/office/drawing/2014/main" id="{51B5D0DE-E6C9-84F3-A824-57285BF85B2B}"/>
            </a:ext>
          </a:extLst>
        </xdr:cNvPr>
        <xdr:cNvSpPr txBox="1"/>
      </xdr:nvSpPr>
      <xdr:spPr>
        <a:xfrm>
          <a:off x="156741" y="663133"/>
          <a:ext cx="1470949" cy="265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AF0162-F187-4957-BE37-F8B8A750EDD4}" type="TxLink">
            <a:rPr lang="en-US" sz="1100" b="1" i="0" u="none" strike="noStrike">
              <a:solidFill>
                <a:srgbClr val="000000"/>
              </a:solidFill>
              <a:latin typeface="Calibri"/>
              <a:ea typeface="Calibri"/>
              <a:cs typeface="Calibri"/>
            </a:rPr>
            <a:pPr algn="ctr"/>
            <a:t>Total Revenue</a:t>
          </a:fld>
          <a:endParaRPr lang="en-IN" sz="1100" b="1"/>
        </a:p>
      </xdr:txBody>
    </xdr:sp>
    <xdr:clientData/>
  </xdr:twoCellAnchor>
  <xdr:twoCellAnchor>
    <xdr:from>
      <xdr:col>1</xdr:col>
      <xdr:colOff>573002</xdr:colOff>
      <xdr:row>3</xdr:row>
      <xdr:rowOff>81489</xdr:rowOff>
    </xdr:from>
    <xdr:to>
      <xdr:col>2</xdr:col>
      <xdr:colOff>955002</xdr:colOff>
      <xdr:row>4</xdr:row>
      <xdr:rowOff>153830</xdr:rowOff>
    </xdr:to>
    <xdr:sp macro="" textlink="Dashboard_Data!A2">
      <xdr:nvSpPr>
        <xdr:cNvPr id="21" name="TextBox 20">
          <a:extLst>
            <a:ext uri="{FF2B5EF4-FFF2-40B4-BE49-F238E27FC236}">
              <a16:creationId xmlns:a16="http://schemas.microsoft.com/office/drawing/2014/main" id="{FC66114C-1B4A-4280-87A1-BFE0D986F543}"/>
            </a:ext>
          </a:extLst>
        </xdr:cNvPr>
        <xdr:cNvSpPr txBox="1"/>
      </xdr:nvSpPr>
      <xdr:spPr>
        <a:xfrm>
          <a:off x="1668240" y="649695"/>
          <a:ext cx="1469003" cy="261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Cost</a:t>
          </a:r>
        </a:p>
        <a:p>
          <a:pPr algn="ctr"/>
          <a:endParaRPr lang="en-IN" sz="1100" b="1" baseline="0"/>
        </a:p>
        <a:p>
          <a:pPr algn="ctr"/>
          <a:endParaRPr lang="en-IN" sz="1100" b="1" baseline="0"/>
        </a:p>
        <a:p>
          <a:pPr algn="ctr"/>
          <a:endParaRPr lang="en-IN" sz="1100" b="1"/>
        </a:p>
      </xdr:txBody>
    </xdr:sp>
    <xdr:clientData/>
  </xdr:twoCellAnchor>
  <xdr:twoCellAnchor>
    <xdr:from>
      <xdr:col>4</xdr:col>
      <xdr:colOff>593644</xdr:colOff>
      <xdr:row>3</xdr:row>
      <xdr:rowOff>80172</xdr:rowOff>
    </xdr:from>
    <xdr:to>
      <xdr:col>6</xdr:col>
      <xdr:colOff>50594</xdr:colOff>
      <xdr:row>4</xdr:row>
      <xdr:rowOff>152513</xdr:rowOff>
    </xdr:to>
    <xdr:sp macro="" textlink="Dashboard_Data!A2">
      <xdr:nvSpPr>
        <xdr:cNvPr id="22" name="TextBox 21">
          <a:extLst>
            <a:ext uri="{FF2B5EF4-FFF2-40B4-BE49-F238E27FC236}">
              <a16:creationId xmlns:a16="http://schemas.microsoft.com/office/drawing/2014/main" id="{FF722755-0F43-4DF2-8FEA-9033AB656969}"/>
            </a:ext>
          </a:extLst>
        </xdr:cNvPr>
        <xdr:cNvSpPr txBox="1"/>
      </xdr:nvSpPr>
      <xdr:spPr>
        <a:xfrm>
          <a:off x="4719314" y="648378"/>
          <a:ext cx="1469003" cy="261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Pft. Margin</a:t>
          </a:r>
          <a:endParaRPr lang="en-IN" sz="1100" b="1"/>
        </a:p>
      </xdr:txBody>
    </xdr:sp>
    <xdr:clientData/>
  </xdr:twoCellAnchor>
  <xdr:twoCellAnchor>
    <xdr:from>
      <xdr:col>3</xdr:col>
      <xdr:colOff>43335</xdr:colOff>
      <xdr:row>3</xdr:row>
      <xdr:rowOff>78854</xdr:rowOff>
    </xdr:from>
    <xdr:to>
      <xdr:col>4</xdr:col>
      <xdr:colOff>540623</xdr:colOff>
      <xdr:row>4</xdr:row>
      <xdr:rowOff>151195</xdr:rowOff>
    </xdr:to>
    <xdr:sp macro="" textlink="Dashboard_Data!A2">
      <xdr:nvSpPr>
        <xdr:cNvPr id="23" name="TextBox 22">
          <a:extLst>
            <a:ext uri="{FF2B5EF4-FFF2-40B4-BE49-F238E27FC236}">
              <a16:creationId xmlns:a16="http://schemas.microsoft.com/office/drawing/2014/main" id="{1055598C-9A23-469A-AAD7-66AEB808F3AF}"/>
            </a:ext>
          </a:extLst>
        </xdr:cNvPr>
        <xdr:cNvSpPr txBox="1"/>
      </xdr:nvSpPr>
      <xdr:spPr>
        <a:xfrm>
          <a:off x="3197290" y="647060"/>
          <a:ext cx="1469003" cy="261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a:t>
          </a:r>
          <a:r>
            <a:rPr lang="en-IN" sz="1100" b="1"/>
            <a:t>Order's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Ahire" refreshedDate="46277.360527893521" createdVersion="8" refreshedVersion="8" minRefreshableVersion="3" recordCount="500" xr:uid="{5D2437E9-679A-4071-ADF0-B474C2C6537A}">
  <cacheSource type="worksheet">
    <worksheetSource name="SalesData"/>
  </cacheSource>
  <cacheFields count="17">
    <cacheField name="Order_ID" numFmtId="0">
      <sharedItems/>
    </cacheField>
    <cacheField name="Order_Date" numFmtId="164">
      <sharedItems containsSemiMixedTypes="0" containsNonDate="0" containsDate="1" containsString="0" minDate="2025-01-01T00:00:00" maxDate="2026-01-01T00:00:00" count="267">
        <d v="2025-12-13T00:00:00"/>
        <d v="2025-10-15T00:00:00"/>
        <d v="2025-06-24T00:00:00"/>
        <d v="2025-11-06T00:00:00"/>
        <d v="2025-07-05T00:00:00"/>
        <d v="2025-07-14T00:00:00"/>
        <d v="2025-12-16T00:00:00"/>
        <d v="2025-06-16T00:00:00"/>
        <d v="2025-06-11T00:00:00"/>
        <d v="2025-01-25T00:00:00"/>
        <d v="2025-09-28T00:00:00"/>
        <d v="2025-08-21T00:00:00"/>
        <d v="2025-03-20T00:00:00"/>
        <d v="2025-06-07T00:00:00"/>
        <d v="2025-03-07T00:00:00"/>
        <d v="2025-12-20T00:00:00"/>
        <d v="2025-05-07T00:00:00"/>
        <d v="2025-01-31T00:00:00"/>
        <d v="2025-03-09T00:00:00"/>
        <d v="2025-07-30T00:00:00"/>
        <d v="2025-04-08T00:00:00"/>
        <d v="2025-10-09T00:00:00"/>
        <d v="2025-07-25T00:00:00"/>
        <d v="2025-10-12T00:00:00"/>
        <d v="2025-10-27T00:00:00"/>
        <d v="2025-05-01T00:00:00"/>
        <d v="2025-02-07T00:00:00"/>
        <d v="2025-05-06T00:00:00"/>
        <d v="2025-12-06T00:00:00"/>
        <d v="2025-06-25T00:00:00"/>
        <d v="2025-01-23T00:00:00"/>
        <d v="2025-01-21T00:00:00"/>
        <d v="2025-04-01T00:00:00"/>
        <d v="2025-01-20T00:00:00"/>
        <d v="2025-07-24T00:00:00"/>
        <d v="2025-05-14T00:00:00"/>
        <d v="2025-09-19T00:00:00"/>
        <d v="2025-12-10T00:00:00"/>
        <d v="2025-06-03T00:00:00"/>
        <d v="2025-10-24T00:00:00"/>
        <d v="2025-05-26T00:00:00"/>
        <d v="2025-09-01T00:00:00"/>
        <d v="2025-12-19T00:00:00"/>
        <d v="2025-03-04T00:00:00"/>
        <d v="2025-05-27T00:00:00"/>
        <d v="2025-07-19T00:00:00"/>
        <d v="2025-08-03T00:00:00"/>
        <d v="2025-07-27T00:00:00"/>
        <d v="2025-08-25T00:00:00"/>
        <d v="2025-11-30T00:00:00"/>
        <d v="2025-10-16T00:00:00"/>
        <d v="2025-06-09T00:00:00"/>
        <d v="2025-11-04T00:00:00"/>
        <d v="2025-01-07T00:00:00"/>
        <d v="2025-02-14T00:00:00"/>
        <d v="2025-04-04T00:00:00"/>
        <d v="2025-01-09T00:00:00"/>
        <d v="2025-10-11T00:00:00"/>
        <d v="2025-04-09T00:00:00"/>
        <d v="2025-09-26T00:00:00"/>
        <d v="2025-03-06T00:00:00"/>
        <d v="2025-08-29T00:00:00"/>
        <d v="2025-11-13T00:00:00"/>
        <d v="2025-11-09T00:00:00"/>
        <d v="2025-03-22T00:00:00"/>
        <d v="2025-03-18T00:00:00"/>
        <d v="2025-06-05T00:00:00"/>
        <d v="2025-01-14T00:00:00"/>
        <d v="2025-05-23T00:00:00"/>
        <d v="2025-02-23T00:00:00"/>
        <d v="2025-06-15T00:00:00"/>
        <d v="2025-09-13T00:00:00"/>
        <d v="2025-11-19T00:00:00"/>
        <d v="2025-02-28T00:00:00"/>
        <d v="2025-05-05T00:00:00"/>
        <d v="2025-09-17T00:00:00"/>
        <d v="2025-06-20T00:00:00"/>
        <d v="2025-08-31T00:00:00"/>
        <d v="2025-08-14T00:00:00"/>
        <d v="2025-05-16T00:00:00"/>
        <d v="2025-01-19T00:00:00"/>
        <d v="2025-12-22T00:00:00"/>
        <d v="2025-09-29T00:00:00"/>
        <d v="2025-10-26T00:00:00"/>
        <d v="2025-06-04T00:00:00"/>
        <d v="2025-06-01T00:00:00"/>
        <d v="2025-04-28T00:00:00"/>
        <d v="2025-08-28T00:00:00"/>
        <d v="2025-10-02T00:00:00"/>
        <d v="2025-11-14T00:00:00"/>
        <d v="2025-01-24T00:00:00"/>
        <d v="2025-12-23T00:00:00"/>
        <d v="2025-05-24T00:00:00"/>
        <d v="2025-12-18T00:00:00"/>
        <d v="2025-04-19T00:00:00"/>
        <d v="2025-04-21T00:00:00"/>
        <d v="2025-02-26T00:00:00"/>
        <d v="2025-08-04T00:00:00"/>
        <d v="2025-11-11T00:00:00"/>
        <d v="2025-02-25T00:00:00"/>
        <d v="2025-11-21T00:00:00"/>
        <d v="2025-06-10T00:00:00"/>
        <d v="2025-02-19T00:00:00"/>
        <d v="2025-01-27T00:00:00"/>
        <d v="2025-11-15T00:00:00"/>
        <d v="2025-04-03T00:00:00"/>
        <d v="2025-11-03T00:00:00"/>
        <d v="2025-09-12T00:00:00"/>
        <d v="2025-01-22T00:00:00"/>
        <d v="2025-10-29T00:00:00"/>
        <d v="2025-03-30T00:00:00"/>
        <d v="2025-08-18T00:00:00"/>
        <d v="2025-10-30T00:00:00"/>
        <d v="2025-02-09T00:00:00"/>
        <d v="2025-06-14T00:00:00"/>
        <d v="2025-06-23T00:00:00"/>
        <d v="2025-12-03T00:00:00"/>
        <d v="2025-02-13T00:00:00"/>
        <d v="2025-06-08T00:00:00"/>
        <d v="2025-02-21T00:00:00"/>
        <d v="2025-11-16T00:00:00"/>
        <d v="2025-08-12T00:00:00"/>
        <d v="2025-07-17T00:00:00"/>
        <d v="2025-01-01T00:00:00"/>
        <d v="2025-02-04T00:00:00"/>
        <d v="2025-03-31T00:00:00"/>
        <d v="2025-04-13T00:00:00"/>
        <d v="2025-04-06T00:00:00"/>
        <d v="2025-11-05T00:00:00"/>
        <d v="2025-01-30T00:00:00"/>
        <d v="2025-08-13T00:00:00"/>
        <d v="2025-05-08T00:00:00"/>
        <d v="2025-04-20T00:00:00"/>
        <d v="2025-08-16T00:00:00"/>
        <d v="2025-12-31T00:00:00"/>
        <d v="2025-07-29T00:00:00"/>
        <d v="2025-12-30T00:00:00"/>
        <d v="2025-02-17T00:00:00"/>
        <d v="2025-11-25T00:00:00"/>
        <d v="2025-08-26T00:00:00"/>
        <d v="2025-09-21T00:00:00"/>
        <d v="2025-05-29T00:00:00"/>
        <d v="2025-08-09T00:00:00"/>
        <d v="2025-03-19T00:00:00"/>
        <d v="2025-07-01T00:00:00"/>
        <d v="2025-12-27T00:00:00"/>
        <d v="2025-10-06T00:00:00"/>
        <d v="2025-08-15T00:00:00"/>
        <d v="2025-10-28T00:00:00"/>
        <d v="2025-08-30T00:00:00"/>
        <d v="2025-02-24T00:00:00"/>
        <d v="2025-08-23T00:00:00"/>
        <d v="2025-11-24T00:00:00"/>
        <d v="2025-01-06T00:00:00"/>
        <d v="2025-09-15T00:00:00"/>
        <d v="2025-11-07T00:00:00"/>
        <d v="2025-09-08T00:00:00"/>
        <d v="2025-06-26T00:00:00"/>
        <d v="2025-06-28T00:00:00"/>
        <d v="2025-02-27T00:00:00"/>
        <d v="2025-06-13T00:00:00"/>
        <d v="2025-12-29T00:00:00"/>
        <d v="2025-11-28T00:00:00"/>
        <d v="2025-05-25T00:00:00"/>
        <d v="2025-12-02T00:00:00"/>
        <d v="2025-04-29T00:00:00"/>
        <d v="2025-11-12T00:00:00"/>
        <d v="2025-05-10T00:00:00"/>
        <d v="2025-04-26T00:00:00"/>
        <d v="2025-11-23T00:00:00"/>
        <d v="2025-01-17T00:00:00"/>
        <d v="2025-07-02T00:00:00"/>
        <d v="2025-07-28T00:00:00"/>
        <d v="2025-07-31T00:00:00"/>
        <d v="2025-09-10T00:00:00"/>
        <d v="2025-04-18T00:00:00"/>
        <d v="2025-12-04T00:00:00"/>
        <d v="2025-12-21T00:00:00"/>
        <d v="2025-08-01T00:00:00"/>
        <d v="2025-08-19T00:00:00"/>
        <d v="2025-12-11T00:00:00"/>
        <d v="2025-10-03T00:00:00"/>
        <d v="2025-07-03T00:00:00"/>
        <d v="2025-03-28T00:00:00"/>
        <d v="2025-07-07T00:00:00"/>
        <d v="2025-04-16T00:00:00"/>
        <d v="2025-05-17T00:00:00"/>
        <d v="2025-07-04T00:00:00"/>
        <d v="2025-02-16T00:00:00"/>
        <d v="2025-02-22T00:00:00"/>
        <d v="2025-10-07T00:00:00"/>
        <d v="2025-11-10T00:00:00"/>
        <d v="2025-09-25T00:00:00"/>
        <d v="2025-08-08T00:00:00"/>
        <d v="2025-03-03T00:00:00"/>
        <d v="2025-10-05T00:00:00"/>
        <d v="2025-05-02T00:00:00"/>
        <d v="2025-09-24T00:00:00"/>
        <d v="2025-07-21T00:00:00"/>
        <d v="2025-04-24T00:00:00"/>
        <d v="2025-02-03T00:00:00"/>
        <d v="2025-10-21T00:00:00"/>
        <d v="2025-09-03T00:00:00"/>
        <d v="2025-07-18T00:00:00"/>
        <d v="2025-01-29T00:00:00"/>
        <d v="2025-12-24T00:00:00"/>
        <d v="2025-03-14T00:00:00"/>
        <d v="2025-07-13T00:00:00"/>
        <d v="2025-06-29T00:00:00"/>
        <d v="2025-01-18T00:00:00"/>
        <d v="2025-02-08T00:00:00"/>
        <d v="2025-09-09T00:00:00"/>
        <d v="2025-12-05T00:00:00"/>
        <d v="2025-02-10T00:00:00"/>
        <d v="2025-03-15T00:00:00"/>
        <d v="2025-07-10T00:00:00"/>
        <d v="2025-09-22T00:00:00"/>
        <d v="2025-01-15T00:00:00"/>
        <d v="2025-05-21T00:00:00"/>
        <d v="2025-03-25T00:00:00"/>
        <d v="2025-08-24T00:00:00"/>
        <d v="2025-07-11T00:00:00"/>
        <d v="2025-09-07T00:00:00"/>
        <d v="2025-07-16T00:00:00"/>
        <d v="2025-01-12T00:00:00"/>
        <d v="2025-12-01T00:00:00"/>
        <d v="2025-05-15T00:00:00"/>
        <d v="2025-09-04T00:00:00"/>
        <d v="2025-11-29T00:00:00"/>
        <d v="2025-10-19T00:00:00"/>
        <d v="2025-10-23T00:00:00"/>
        <d v="2025-10-13T00:00:00"/>
        <d v="2025-06-19T00:00:00"/>
        <d v="2025-08-20T00:00:00"/>
        <d v="2025-05-09T00:00:00"/>
        <d v="2025-03-24T00:00:00"/>
        <d v="2025-11-17T00:00:00"/>
        <d v="2025-09-16T00:00:00"/>
        <d v="2025-05-31T00:00:00"/>
        <d v="2025-12-26T00:00:00"/>
        <d v="2025-04-02T00:00:00"/>
        <d v="2025-10-01T00:00:00"/>
        <d v="2025-10-18T00:00:00"/>
        <d v="2025-04-11T00:00:00"/>
        <d v="2025-07-12T00:00:00"/>
        <d v="2025-07-09T00:00:00"/>
        <d v="2025-03-10T00:00:00"/>
        <d v="2025-01-04T00:00:00"/>
        <d v="2025-08-07T00:00:00"/>
        <d v="2025-02-02T00:00:00"/>
        <d v="2025-09-23T00:00:00"/>
        <d v="2025-07-26T00:00:00"/>
        <d v="2025-03-01T00:00:00"/>
        <d v="2025-10-22T00:00:00"/>
        <d v="2025-06-21T00:00:00"/>
        <d v="2025-07-15T00:00:00"/>
        <d v="2025-02-06T00:00:00"/>
        <d v="2025-07-22T00:00:00"/>
        <d v="2025-09-02T00:00:00"/>
        <d v="2025-02-18T00:00:00"/>
        <d v="2025-10-20T00:00:00"/>
        <d v="2025-04-17T00:00:00"/>
        <d v="2025-11-02T00:00:00"/>
        <d v="2025-09-05T00:00:00"/>
        <d v="2025-01-26T00:00:00"/>
        <d v="2025-04-12T00:00:00"/>
        <d v="2025-01-13T00:00:00"/>
      </sharedItems>
      <fieldGroup par="16"/>
    </cacheField>
    <cacheField name="Region" numFmtId="0">
      <sharedItems count="4">
        <s v="West"/>
        <s v="South"/>
        <s v="North"/>
        <s v="East"/>
      </sharedItems>
    </cacheField>
    <cacheField name="State" numFmtId="0">
      <sharedItems/>
    </cacheField>
    <cacheField name="Salesperson" numFmtId="0">
      <sharedItems/>
    </cacheField>
    <cacheField name="Category" numFmtId="0">
      <sharedItems count="4">
        <s v="Office Supplies"/>
        <s v="Electronics"/>
        <s v="Furniture"/>
        <s v="Accessories"/>
      </sharedItems>
    </cacheField>
    <cacheField name="Product" numFmtId="0">
      <sharedItems count="16">
        <s v="Pen Set"/>
        <s v="Monitor"/>
        <s v="Notebook"/>
        <s v="Printer"/>
        <s v="Keyboard"/>
        <s v="Bookshelf"/>
        <s v="USB Hub"/>
        <s v="Headset"/>
        <s v="Desk"/>
        <s v="File Folder"/>
        <s v="Laptop"/>
        <s v="Mouse"/>
        <s v="Stapler"/>
        <s v="Webcam"/>
        <s v="Cabinet"/>
        <s v="Office Chair"/>
      </sharedItems>
    </cacheField>
    <cacheField name="Units" numFmtId="0">
      <sharedItems containsSemiMixedTypes="0" containsString="0" containsNumber="1" containsInteger="1" minValue="1" maxValue="15"/>
    </cacheField>
    <cacheField name="Unit_Price" numFmtId="165">
      <sharedItems containsSemiMixedTypes="0" containsString="0" containsNumber="1" containsInteger="1" minValue="80" maxValue="55000"/>
    </cacheField>
    <cacheField name="Discount" numFmtId="9">
      <sharedItems containsSemiMixedTypes="0" containsString="0" containsNumber="1" minValue="0" maxValue="0.15"/>
    </cacheField>
    <cacheField name="Revenue" numFmtId="165">
      <sharedItems containsSemiMixedTypes="0" containsString="0" containsNumber="1" minValue="108" maxValue="783750"/>
    </cacheField>
    <cacheField name="Cost" numFmtId="165">
      <sharedItems containsSemiMixedTypes="0" containsString="0" containsNumber="1" minValue="67.397600545261071" maxValue="620487.47631694924"/>
    </cacheField>
    <cacheField name="Profit" numFmtId="165">
      <sharedItems containsSemiMixedTypes="0" containsString="0" containsNumber="1" minValue="29.234865774691709" maxValue="255322.31157264399"/>
    </cacheField>
    <cacheField name="Customer_Type" numFmtId="0">
      <sharedItems count="3">
        <s v="Wholesale"/>
        <s v="Retail"/>
        <s v="Corporate"/>
      </sharedItems>
    </cacheField>
    <cacheField name="Payment_Mode" numFmtId="0">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198156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x v="0"/>
    <s v="Maharashtra"/>
    <s v="Priya"/>
    <x v="0"/>
    <x v="0"/>
    <n v="4"/>
    <n v="250"/>
    <n v="0"/>
    <n v="1000"/>
    <n v="719.38837925772293"/>
    <n v="280.61162074227713"/>
    <x v="0"/>
    <s v="Bank Transfer"/>
  </r>
  <r>
    <s v="ORD0002"/>
    <x v="1"/>
    <x v="0"/>
    <s v="Maharashtra"/>
    <s v="Sneha"/>
    <x v="1"/>
    <x v="1"/>
    <n v="4"/>
    <n v="12000"/>
    <n v="0.15"/>
    <n v="40800"/>
    <n v="33046.286768711783"/>
    <n v="7753.7132312882168"/>
    <x v="0"/>
    <s v="Bank Transfer"/>
  </r>
  <r>
    <s v="ORD0003"/>
    <x v="2"/>
    <x v="1"/>
    <s v="Tamil Nadu"/>
    <s v="Neha"/>
    <x v="0"/>
    <x v="2"/>
    <n v="13"/>
    <n v="120"/>
    <n v="0"/>
    <n v="1560"/>
    <n v="1108.4924149217759"/>
    <n v="451.50758507822411"/>
    <x v="1"/>
    <s v="UPI"/>
  </r>
  <r>
    <s v="ORD0004"/>
    <x v="3"/>
    <x v="2"/>
    <s v="Delhi"/>
    <s v="Neha"/>
    <x v="1"/>
    <x v="3"/>
    <n v="2"/>
    <n v="9000"/>
    <n v="0.05"/>
    <n v="17100"/>
    <n v="13408.626676678479"/>
    <n v="3691.3733233215171"/>
    <x v="1"/>
    <s v="Bank Transfer"/>
  </r>
  <r>
    <s v="ORD0005"/>
    <x v="4"/>
    <x v="0"/>
    <s v="Gujarat"/>
    <s v="Sneha"/>
    <x v="1"/>
    <x v="4"/>
    <n v="14"/>
    <n v="1800"/>
    <n v="0.15"/>
    <n v="21420"/>
    <n v="18992.078331041728"/>
    <n v="2427.9216689582681"/>
    <x v="0"/>
    <s v="Cash"/>
  </r>
  <r>
    <s v="ORD0006"/>
    <x v="5"/>
    <x v="0"/>
    <s v="Goa"/>
    <s v="Neha"/>
    <x v="2"/>
    <x v="5"/>
    <n v="2"/>
    <n v="6500"/>
    <n v="0"/>
    <n v="13000"/>
    <n v="9740.7861635982554"/>
    <n v="3259.2138364017451"/>
    <x v="2"/>
    <s v="Card"/>
  </r>
  <r>
    <s v="ORD0007"/>
    <x v="6"/>
    <x v="1"/>
    <s v="Tamil Nadu"/>
    <s v="Priya"/>
    <x v="0"/>
    <x v="0"/>
    <n v="11"/>
    <n v="250"/>
    <n v="0.05"/>
    <n v="2612.5"/>
    <n v="1956.4013482625339"/>
    <n v="656.0986517374663"/>
    <x v="0"/>
    <s v="UPI"/>
  </r>
  <r>
    <s v="ORD0008"/>
    <x v="7"/>
    <x v="1"/>
    <s v="Karnataka"/>
    <s v="Amit"/>
    <x v="3"/>
    <x v="6"/>
    <n v="5"/>
    <n v="1200"/>
    <n v="0.15"/>
    <n v="5100"/>
    <n v="3603.068940078972"/>
    <n v="1496.931059921028"/>
    <x v="1"/>
    <s v="Cash"/>
  </r>
  <r>
    <s v="ORD0009"/>
    <x v="8"/>
    <x v="2"/>
    <s v="Rajasthan"/>
    <s v="Sneha"/>
    <x v="0"/>
    <x v="2"/>
    <n v="4"/>
    <n v="120"/>
    <n v="0.15"/>
    <n v="408"/>
    <n v="360.75098596258272"/>
    <n v="47.249014037417339"/>
    <x v="0"/>
    <s v="Bank Transfer"/>
  </r>
  <r>
    <s v="ORD0010"/>
    <x v="1"/>
    <x v="3"/>
    <s v="Bihar"/>
    <s v="Neha"/>
    <x v="3"/>
    <x v="7"/>
    <n v="5"/>
    <n v="2200"/>
    <n v="0"/>
    <n v="11000"/>
    <n v="6673.9675944657783"/>
    <n v="4326.0324055342217"/>
    <x v="0"/>
    <s v="Bank Transfer"/>
  </r>
  <r>
    <s v="ORD0011"/>
    <x v="9"/>
    <x v="3"/>
    <s v="Odisha"/>
    <s v="Priya"/>
    <x v="2"/>
    <x v="8"/>
    <n v="9"/>
    <n v="11000"/>
    <n v="0.1"/>
    <n v="89100"/>
    <n v="56520.007315197297"/>
    <n v="32579.992684802699"/>
    <x v="1"/>
    <s v="UPI"/>
  </r>
  <r>
    <s v="ORD0012"/>
    <x v="10"/>
    <x v="3"/>
    <s v="Bihar"/>
    <s v="Neha"/>
    <x v="1"/>
    <x v="3"/>
    <n v="7"/>
    <n v="9000"/>
    <n v="0.15"/>
    <n v="53550"/>
    <n v="49083.798799679003"/>
    <n v="4466.2012003209966"/>
    <x v="0"/>
    <s v="Cash"/>
  </r>
  <r>
    <s v="ORD0013"/>
    <x v="11"/>
    <x v="0"/>
    <s v="Goa"/>
    <s v="Amit"/>
    <x v="0"/>
    <x v="9"/>
    <n v="2"/>
    <n v="80"/>
    <n v="0.05"/>
    <n v="152"/>
    <n v="103.9993612246231"/>
    <n v="48.000638775376927"/>
    <x v="0"/>
    <s v="Card"/>
  </r>
  <r>
    <s v="ORD0014"/>
    <x v="12"/>
    <x v="1"/>
    <s v="Telangana"/>
    <s v="Vikas"/>
    <x v="1"/>
    <x v="4"/>
    <n v="14"/>
    <n v="1800"/>
    <n v="0.15"/>
    <n v="21420"/>
    <n v="17389.59134549565"/>
    <n v="4030.4086545043542"/>
    <x v="1"/>
    <s v="Cash"/>
  </r>
  <r>
    <s v="ORD0015"/>
    <x v="13"/>
    <x v="2"/>
    <s v="Rajasthan"/>
    <s v="Sneha"/>
    <x v="1"/>
    <x v="10"/>
    <n v="15"/>
    <n v="55000"/>
    <n v="0.05"/>
    <n v="783750"/>
    <n v="620487.47631694924"/>
    <n v="163262.52368305079"/>
    <x v="1"/>
    <s v="UPI"/>
  </r>
  <r>
    <s v="ORD0016"/>
    <x v="14"/>
    <x v="0"/>
    <s v="Maharashtra"/>
    <s v="Pooja"/>
    <x v="3"/>
    <x v="11"/>
    <n v="13"/>
    <n v="900"/>
    <n v="0.15"/>
    <n v="9945"/>
    <n v="8495.8604492651048"/>
    <n v="1449.139550734895"/>
    <x v="0"/>
    <s v="UPI"/>
  </r>
  <r>
    <s v="ORD0017"/>
    <x v="15"/>
    <x v="2"/>
    <s v="Uttar Pradesh"/>
    <s v="Sneha"/>
    <x v="3"/>
    <x v="7"/>
    <n v="15"/>
    <n v="2200"/>
    <n v="0.15"/>
    <n v="28050"/>
    <n v="23882.46284246576"/>
    <n v="4167.537157534236"/>
    <x v="0"/>
    <s v="Card"/>
  </r>
  <r>
    <s v="ORD0018"/>
    <x v="16"/>
    <x v="3"/>
    <s v="Bihar"/>
    <s v="Sneha"/>
    <x v="0"/>
    <x v="12"/>
    <n v="15"/>
    <n v="180"/>
    <n v="0.15"/>
    <n v="2295"/>
    <n v="1765.3728938038921"/>
    <n v="529.62710619610834"/>
    <x v="1"/>
    <s v="Card"/>
  </r>
  <r>
    <s v="ORD0019"/>
    <x v="17"/>
    <x v="0"/>
    <s v="Goa"/>
    <s v="Sneha"/>
    <x v="2"/>
    <x v="8"/>
    <n v="1"/>
    <n v="11000"/>
    <n v="0"/>
    <n v="11000"/>
    <n v="7840.8375947675886"/>
    <n v="3159.1624052324109"/>
    <x v="1"/>
    <s v="Cash"/>
  </r>
  <r>
    <s v="ORD0020"/>
    <x v="18"/>
    <x v="2"/>
    <s v="Delhi"/>
    <s v="Pooja"/>
    <x v="2"/>
    <x v="5"/>
    <n v="11"/>
    <n v="6500"/>
    <n v="0.1"/>
    <n v="64350"/>
    <n v="42848.124297206858"/>
    <n v="21501.875702793139"/>
    <x v="1"/>
    <s v="Bank Transfer"/>
  </r>
  <r>
    <s v="ORD0021"/>
    <x v="19"/>
    <x v="3"/>
    <s v="West Bengal"/>
    <s v="Pooja"/>
    <x v="1"/>
    <x v="10"/>
    <n v="11"/>
    <n v="55000"/>
    <n v="0.1"/>
    <n v="544500"/>
    <n v="382050.50639093638"/>
    <n v="162449.49360906359"/>
    <x v="0"/>
    <s v="Cash"/>
  </r>
  <r>
    <s v="ORD0022"/>
    <x v="20"/>
    <x v="0"/>
    <s v="Maharashtra"/>
    <s v="Pooja"/>
    <x v="3"/>
    <x v="13"/>
    <n v="13"/>
    <n v="3000"/>
    <n v="0"/>
    <n v="39000"/>
    <n v="23680.44731526497"/>
    <n v="15319.55268473503"/>
    <x v="1"/>
    <s v="Bank Transfer"/>
  </r>
  <r>
    <s v="ORD0023"/>
    <x v="21"/>
    <x v="1"/>
    <s v="Tamil Nadu"/>
    <s v="Priya"/>
    <x v="3"/>
    <x v="7"/>
    <n v="14"/>
    <n v="2200"/>
    <n v="0"/>
    <n v="30800"/>
    <n v="20079.138197958691"/>
    <n v="10720.861802041311"/>
    <x v="1"/>
    <s v="Cash"/>
  </r>
  <r>
    <s v="ORD0024"/>
    <x v="22"/>
    <x v="0"/>
    <s v="Maharashtra"/>
    <s v="Amit"/>
    <x v="2"/>
    <x v="14"/>
    <n v="8"/>
    <n v="8000"/>
    <n v="0.1"/>
    <n v="57600"/>
    <n v="38346.360244211959"/>
    <n v="19253.639755788041"/>
    <x v="1"/>
    <s v="Bank Transfer"/>
  </r>
  <r>
    <s v="ORD0025"/>
    <x v="23"/>
    <x v="0"/>
    <s v="Gujarat"/>
    <s v="Pooja"/>
    <x v="0"/>
    <x v="12"/>
    <n v="5"/>
    <n v="180"/>
    <n v="0.1"/>
    <n v="810"/>
    <n v="639.19444124523375"/>
    <n v="170.80555875476631"/>
    <x v="1"/>
    <s v="UPI"/>
  </r>
  <r>
    <s v="ORD0026"/>
    <x v="24"/>
    <x v="2"/>
    <s v="Delhi"/>
    <s v="Pooja"/>
    <x v="1"/>
    <x v="10"/>
    <n v="12"/>
    <n v="55000"/>
    <n v="0.05"/>
    <n v="627000"/>
    <n v="371677.68842735601"/>
    <n v="255322.31157264399"/>
    <x v="0"/>
    <s v="UPI"/>
  </r>
  <r>
    <s v="ORD0027"/>
    <x v="25"/>
    <x v="0"/>
    <s v="Goa"/>
    <s v="Rohan"/>
    <x v="1"/>
    <x v="1"/>
    <n v="2"/>
    <n v="12000"/>
    <n v="0.15"/>
    <n v="20400"/>
    <n v="13575.143965834181"/>
    <n v="6824.8560341658194"/>
    <x v="1"/>
    <s v="UPI"/>
  </r>
  <r>
    <s v="ORD0028"/>
    <x v="8"/>
    <x v="0"/>
    <s v="Goa"/>
    <s v="Neha"/>
    <x v="1"/>
    <x v="3"/>
    <n v="11"/>
    <n v="9000"/>
    <n v="0.15"/>
    <n v="84150"/>
    <n v="67320.217055929927"/>
    <n v="16829.78294407007"/>
    <x v="1"/>
    <s v="Card"/>
  </r>
  <r>
    <s v="ORD0029"/>
    <x v="26"/>
    <x v="1"/>
    <s v="Tamil Nadu"/>
    <s v="Amit"/>
    <x v="3"/>
    <x v="7"/>
    <n v="11"/>
    <n v="2200"/>
    <n v="0.05"/>
    <n v="22990"/>
    <n v="15854.91197092714"/>
    <n v="7135.0880290728637"/>
    <x v="2"/>
    <s v="Cash"/>
  </r>
  <r>
    <s v="ORD0030"/>
    <x v="27"/>
    <x v="0"/>
    <s v="Goa"/>
    <s v="Vikas"/>
    <x v="2"/>
    <x v="5"/>
    <n v="3"/>
    <n v="6500"/>
    <n v="0.05"/>
    <n v="18525"/>
    <n v="14675.67581898368"/>
    <n v="3849.3241810163181"/>
    <x v="2"/>
    <s v="UPI"/>
  </r>
  <r>
    <s v="ORD0031"/>
    <x v="28"/>
    <x v="3"/>
    <s v="Bihar"/>
    <s v="Priya"/>
    <x v="0"/>
    <x v="2"/>
    <n v="11"/>
    <n v="120"/>
    <n v="0.15"/>
    <n v="1122"/>
    <n v="816.89138916791342"/>
    <n v="305.10861083208658"/>
    <x v="1"/>
    <s v="Card"/>
  </r>
  <r>
    <s v="ORD0032"/>
    <x v="29"/>
    <x v="0"/>
    <s v="Maharashtra"/>
    <s v="Sneha"/>
    <x v="2"/>
    <x v="5"/>
    <n v="5"/>
    <n v="6500"/>
    <n v="0.15"/>
    <n v="27625"/>
    <n v="19449.456669681898"/>
    <n v="8175.5433303181017"/>
    <x v="0"/>
    <s v="Card"/>
  </r>
  <r>
    <s v="ORD0033"/>
    <x v="30"/>
    <x v="3"/>
    <s v="Odisha"/>
    <s v="Amit"/>
    <x v="1"/>
    <x v="10"/>
    <n v="11"/>
    <n v="55000"/>
    <n v="0.1"/>
    <n v="544500"/>
    <n v="448153.78663614427"/>
    <n v="96346.21336385567"/>
    <x v="2"/>
    <s v="UPI"/>
  </r>
  <r>
    <s v="ORD0034"/>
    <x v="15"/>
    <x v="2"/>
    <s v="Delhi"/>
    <s v="Rahul"/>
    <x v="3"/>
    <x v="6"/>
    <n v="9"/>
    <n v="1200"/>
    <n v="0"/>
    <n v="10800"/>
    <n v="6217.8947193839094"/>
    <n v="4582.1052806160906"/>
    <x v="0"/>
    <s v="Cash"/>
  </r>
  <r>
    <s v="ORD0035"/>
    <x v="31"/>
    <x v="2"/>
    <s v="Uttar Pradesh"/>
    <s v="Vikas"/>
    <x v="2"/>
    <x v="14"/>
    <n v="3"/>
    <n v="8000"/>
    <n v="0"/>
    <n v="24000"/>
    <n v="14901.586091614339"/>
    <n v="9098.4139083856608"/>
    <x v="1"/>
    <s v="UPI"/>
  </r>
  <r>
    <s v="ORD0036"/>
    <x v="32"/>
    <x v="0"/>
    <s v="Gujarat"/>
    <s v="Rohan"/>
    <x v="3"/>
    <x v="7"/>
    <n v="15"/>
    <n v="2200"/>
    <n v="0"/>
    <n v="33000"/>
    <n v="24712.357234309529"/>
    <n v="8287.6427656904743"/>
    <x v="1"/>
    <s v="UPI"/>
  </r>
  <r>
    <s v="ORD0037"/>
    <x v="33"/>
    <x v="2"/>
    <s v="Rajasthan"/>
    <s v="Pooja"/>
    <x v="2"/>
    <x v="5"/>
    <n v="3"/>
    <n v="6500"/>
    <n v="0"/>
    <n v="19500"/>
    <n v="12440.69962584725"/>
    <n v="7059.3003741527482"/>
    <x v="1"/>
    <s v="UPI"/>
  </r>
  <r>
    <s v="ORD0038"/>
    <x v="34"/>
    <x v="3"/>
    <s v="Odisha"/>
    <s v="Vikas"/>
    <x v="0"/>
    <x v="0"/>
    <n v="4"/>
    <n v="250"/>
    <n v="0"/>
    <n v="1000"/>
    <n v="701.80763203218464"/>
    <n v="298.19236796781541"/>
    <x v="2"/>
    <s v="Cash"/>
  </r>
  <r>
    <s v="ORD0039"/>
    <x v="35"/>
    <x v="2"/>
    <s v="Rajasthan"/>
    <s v="Rahul"/>
    <x v="3"/>
    <x v="13"/>
    <n v="1"/>
    <n v="3000"/>
    <n v="0"/>
    <n v="3000"/>
    <n v="2255.1565039871371"/>
    <n v="744.8434960128634"/>
    <x v="0"/>
    <s v="Card"/>
  </r>
  <r>
    <s v="ORD0040"/>
    <x v="36"/>
    <x v="0"/>
    <s v="Maharashtra"/>
    <s v="Priya"/>
    <x v="3"/>
    <x v="13"/>
    <n v="12"/>
    <n v="3000"/>
    <n v="0.05"/>
    <n v="34200"/>
    <n v="23413.34135844863"/>
    <n v="10786.65864155137"/>
    <x v="2"/>
    <s v="UPI"/>
  </r>
  <r>
    <s v="ORD0041"/>
    <x v="37"/>
    <x v="2"/>
    <s v="Delhi"/>
    <s v="Sneha"/>
    <x v="3"/>
    <x v="11"/>
    <n v="9"/>
    <n v="900"/>
    <n v="0.15"/>
    <n v="6885"/>
    <n v="5734.6148647017644"/>
    <n v="1150.385135298236"/>
    <x v="2"/>
    <s v="Bank Transfer"/>
  </r>
  <r>
    <s v="ORD0042"/>
    <x v="38"/>
    <x v="0"/>
    <s v="Goa"/>
    <s v="Neha"/>
    <x v="0"/>
    <x v="9"/>
    <n v="11"/>
    <n v="80"/>
    <n v="0"/>
    <n v="880"/>
    <n v="629.6782628340236"/>
    <n v="250.3217371659764"/>
    <x v="0"/>
    <s v="Bank Transfer"/>
  </r>
  <r>
    <s v="ORD0043"/>
    <x v="5"/>
    <x v="2"/>
    <s v="Rajasthan"/>
    <s v="Rahul"/>
    <x v="0"/>
    <x v="0"/>
    <n v="4"/>
    <n v="250"/>
    <n v="0.1"/>
    <n v="900"/>
    <n v="702.93376986893747"/>
    <n v="197.0662301310625"/>
    <x v="0"/>
    <s v="Card"/>
  </r>
  <r>
    <s v="ORD0044"/>
    <x v="39"/>
    <x v="3"/>
    <s v="Bihar"/>
    <s v="Vikas"/>
    <x v="1"/>
    <x v="4"/>
    <n v="5"/>
    <n v="1800"/>
    <n v="0"/>
    <n v="9000"/>
    <n v="5839.8684704789584"/>
    <n v="3160.131529521042"/>
    <x v="2"/>
    <s v="Bank Transfer"/>
  </r>
  <r>
    <s v="ORD0045"/>
    <x v="40"/>
    <x v="3"/>
    <s v="Bihar"/>
    <s v="Vikas"/>
    <x v="2"/>
    <x v="14"/>
    <n v="13"/>
    <n v="8000"/>
    <n v="0"/>
    <n v="104000"/>
    <n v="72959.709820362244"/>
    <n v="31040.290179637759"/>
    <x v="1"/>
    <s v="UPI"/>
  </r>
  <r>
    <s v="ORD0046"/>
    <x v="41"/>
    <x v="2"/>
    <s v="Delhi"/>
    <s v="Priya"/>
    <x v="2"/>
    <x v="8"/>
    <n v="1"/>
    <n v="11000"/>
    <n v="0"/>
    <n v="11000"/>
    <n v="6669.4516365182262"/>
    <n v="4330.5483634817738"/>
    <x v="2"/>
    <s v="Bank Transfer"/>
  </r>
  <r>
    <s v="ORD0047"/>
    <x v="42"/>
    <x v="1"/>
    <s v="Telangana"/>
    <s v="Amit"/>
    <x v="3"/>
    <x v="6"/>
    <n v="7"/>
    <n v="1200"/>
    <n v="0"/>
    <n v="8400"/>
    <n v="4905.107838716388"/>
    <n v="3494.892161283612"/>
    <x v="1"/>
    <s v="Bank Transfer"/>
  </r>
  <r>
    <s v="ORD0048"/>
    <x v="43"/>
    <x v="1"/>
    <s v="Karnataka"/>
    <s v="Pooja"/>
    <x v="3"/>
    <x v="11"/>
    <n v="9"/>
    <n v="900"/>
    <n v="0"/>
    <n v="8100"/>
    <n v="6164.2466369304857"/>
    <n v="1935.7533630695141"/>
    <x v="1"/>
    <s v="Bank Transfer"/>
  </r>
  <r>
    <s v="ORD0049"/>
    <x v="41"/>
    <x v="2"/>
    <s v="Rajasthan"/>
    <s v="Pooja"/>
    <x v="3"/>
    <x v="6"/>
    <n v="15"/>
    <n v="1200"/>
    <n v="0"/>
    <n v="18000"/>
    <n v="12978.73353054068"/>
    <n v="5021.2664694593186"/>
    <x v="2"/>
    <s v="UPI"/>
  </r>
  <r>
    <s v="ORD0050"/>
    <x v="44"/>
    <x v="2"/>
    <s v="Uttar Pradesh"/>
    <s v="Sneha"/>
    <x v="3"/>
    <x v="7"/>
    <n v="5"/>
    <n v="2200"/>
    <n v="0.1"/>
    <n v="9900"/>
    <n v="6246.032885277783"/>
    <n v="3653.967114722217"/>
    <x v="2"/>
    <s v="Card"/>
  </r>
  <r>
    <s v="ORD0051"/>
    <x v="12"/>
    <x v="2"/>
    <s v="Uttar Pradesh"/>
    <s v="Sneha"/>
    <x v="1"/>
    <x v="1"/>
    <n v="3"/>
    <n v="12000"/>
    <n v="0"/>
    <n v="36000"/>
    <n v="22971.532221331479"/>
    <n v="13028.467778668521"/>
    <x v="1"/>
    <s v="Bank Transfer"/>
  </r>
  <r>
    <s v="ORD0052"/>
    <x v="45"/>
    <x v="3"/>
    <s v="Odisha"/>
    <s v="Amit"/>
    <x v="3"/>
    <x v="6"/>
    <n v="1"/>
    <n v="1200"/>
    <n v="0"/>
    <n v="1200"/>
    <n v="889.8779627379746"/>
    <n v="310.1220372620254"/>
    <x v="0"/>
    <s v="Bank Transfer"/>
  </r>
  <r>
    <s v="ORD0053"/>
    <x v="46"/>
    <x v="3"/>
    <s v="West Bengal"/>
    <s v="Sneha"/>
    <x v="0"/>
    <x v="9"/>
    <n v="13"/>
    <n v="80"/>
    <n v="0.1"/>
    <n v="936"/>
    <n v="776.14474977612986"/>
    <n v="159.85525022387009"/>
    <x v="2"/>
    <s v="UPI"/>
  </r>
  <r>
    <s v="ORD0054"/>
    <x v="47"/>
    <x v="2"/>
    <s v="Rajasthan"/>
    <s v="Rahul"/>
    <x v="3"/>
    <x v="11"/>
    <n v="7"/>
    <n v="900"/>
    <n v="0.05"/>
    <n v="5985"/>
    <n v="4434.1978762826066"/>
    <n v="1550.802123717393"/>
    <x v="2"/>
    <s v="UPI"/>
  </r>
  <r>
    <s v="ORD0055"/>
    <x v="48"/>
    <x v="0"/>
    <s v="Gujarat"/>
    <s v="Rahul"/>
    <x v="1"/>
    <x v="10"/>
    <n v="11"/>
    <n v="55000"/>
    <n v="0.1"/>
    <n v="544500"/>
    <n v="351632.58364813298"/>
    <n v="192867.416351867"/>
    <x v="1"/>
    <s v="Card"/>
  </r>
  <r>
    <s v="ORD0056"/>
    <x v="5"/>
    <x v="3"/>
    <s v="Odisha"/>
    <s v="Neha"/>
    <x v="2"/>
    <x v="14"/>
    <n v="6"/>
    <n v="8000"/>
    <n v="0.05"/>
    <n v="45600"/>
    <n v="34803.975975150061"/>
    <n v="10796.024024849939"/>
    <x v="2"/>
    <s v="Card"/>
  </r>
  <r>
    <s v="ORD0057"/>
    <x v="49"/>
    <x v="0"/>
    <s v="Gujarat"/>
    <s v="Amit"/>
    <x v="1"/>
    <x v="10"/>
    <n v="6"/>
    <n v="55000"/>
    <n v="0"/>
    <n v="330000"/>
    <n v="230845.93667766551"/>
    <n v="99154.063322334492"/>
    <x v="1"/>
    <s v="UPI"/>
  </r>
  <r>
    <s v="ORD0058"/>
    <x v="50"/>
    <x v="1"/>
    <s v="Karnataka"/>
    <s v="Sneha"/>
    <x v="2"/>
    <x v="8"/>
    <n v="3"/>
    <n v="11000"/>
    <n v="0.1"/>
    <n v="29700"/>
    <n v="23231.192630665129"/>
    <n v="6468.8073693348742"/>
    <x v="2"/>
    <s v="Card"/>
  </r>
  <r>
    <s v="ORD0059"/>
    <x v="51"/>
    <x v="2"/>
    <s v="Delhi"/>
    <s v="Rohan"/>
    <x v="1"/>
    <x v="1"/>
    <n v="5"/>
    <n v="12000"/>
    <n v="0"/>
    <n v="60000"/>
    <n v="40985.849308627563"/>
    <n v="19014.150691372441"/>
    <x v="2"/>
    <s v="UPI"/>
  </r>
  <r>
    <s v="ORD0060"/>
    <x v="52"/>
    <x v="0"/>
    <s v="Goa"/>
    <s v="Priya"/>
    <x v="2"/>
    <x v="15"/>
    <n v="12"/>
    <n v="7000"/>
    <n v="0.05"/>
    <n v="79800"/>
    <n v="62627.665379195547"/>
    <n v="17172.33462080445"/>
    <x v="0"/>
    <s v="Cash"/>
  </r>
  <r>
    <s v="ORD0061"/>
    <x v="53"/>
    <x v="2"/>
    <s v="Uttar Pradesh"/>
    <s v="Rohan"/>
    <x v="3"/>
    <x v="13"/>
    <n v="2"/>
    <n v="3000"/>
    <n v="0.15"/>
    <n v="5100"/>
    <n v="4193.6096905983914"/>
    <n v="906.39030940160865"/>
    <x v="2"/>
    <s v="Cash"/>
  </r>
  <r>
    <s v="ORD0062"/>
    <x v="49"/>
    <x v="3"/>
    <s v="Odisha"/>
    <s v="Neha"/>
    <x v="3"/>
    <x v="7"/>
    <n v="7"/>
    <n v="2200"/>
    <n v="0"/>
    <n v="15400"/>
    <n v="11069.10296681543"/>
    <n v="4330.8970331845667"/>
    <x v="0"/>
    <s v="Bank Transfer"/>
  </r>
  <r>
    <s v="ORD0063"/>
    <x v="54"/>
    <x v="3"/>
    <s v="Odisha"/>
    <s v="Neha"/>
    <x v="0"/>
    <x v="9"/>
    <n v="14"/>
    <n v="80"/>
    <n v="0"/>
    <n v="1120"/>
    <n v="829.99631046621948"/>
    <n v="290.00368953378052"/>
    <x v="2"/>
    <s v="UPI"/>
  </r>
  <r>
    <s v="ORD0064"/>
    <x v="55"/>
    <x v="3"/>
    <s v="Bihar"/>
    <s v="Pooja"/>
    <x v="3"/>
    <x v="13"/>
    <n v="1"/>
    <n v="3000"/>
    <n v="0.1"/>
    <n v="2700"/>
    <n v="2237.1574570555972"/>
    <n v="462.84254294440319"/>
    <x v="1"/>
    <s v="Card"/>
  </r>
  <r>
    <s v="ORD0065"/>
    <x v="20"/>
    <x v="2"/>
    <s v="Rajasthan"/>
    <s v="Priya"/>
    <x v="0"/>
    <x v="9"/>
    <n v="9"/>
    <n v="80"/>
    <n v="0"/>
    <n v="720"/>
    <n v="481.55347288399321"/>
    <n v="238.44652711600679"/>
    <x v="1"/>
    <s v="Bank Transfer"/>
  </r>
  <r>
    <s v="ORD0066"/>
    <x v="56"/>
    <x v="3"/>
    <s v="Bihar"/>
    <s v="Priya"/>
    <x v="2"/>
    <x v="14"/>
    <n v="11"/>
    <n v="8000"/>
    <n v="0.1"/>
    <n v="79200"/>
    <n v="57471.052883632197"/>
    <n v="21728.947116367799"/>
    <x v="2"/>
    <s v="UPI"/>
  </r>
  <r>
    <s v="ORD0067"/>
    <x v="57"/>
    <x v="3"/>
    <s v="Bihar"/>
    <s v="Vikas"/>
    <x v="2"/>
    <x v="5"/>
    <n v="11"/>
    <n v="6500"/>
    <n v="0.15"/>
    <n v="60775"/>
    <n v="45393.54131112076"/>
    <n v="15381.45868887924"/>
    <x v="2"/>
    <s v="Card"/>
  </r>
  <r>
    <s v="ORD0068"/>
    <x v="58"/>
    <x v="2"/>
    <s v="Uttar Pradesh"/>
    <s v="Vikas"/>
    <x v="3"/>
    <x v="13"/>
    <n v="5"/>
    <n v="3000"/>
    <n v="0.05"/>
    <n v="14250"/>
    <n v="9045.3562424798511"/>
    <n v="5204.6437575201489"/>
    <x v="1"/>
    <s v="UPI"/>
  </r>
  <r>
    <s v="ORD0069"/>
    <x v="59"/>
    <x v="1"/>
    <s v="Karnataka"/>
    <s v="Neha"/>
    <x v="3"/>
    <x v="13"/>
    <n v="12"/>
    <n v="3000"/>
    <n v="0.15"/>
    <n v="30600"/>
    <n v="27886.306149471711"/>
    <n v="2713.6938505282892"/>
    <x v="1"/>
    <s v="UPI"/>
  </r>
  <r>
    <s v="ORD0070"/>
    <x v="60"/>
    <x v="2"/>
    <s v="Delhi"/>
    <s v="Neha"/>
    <x v="0"/>
    <x v="0"/>
    <n v="5"/>
    <n v="250"/>
    <n v="0"/>
    <n v="1250"/>
    <n v="891.05531464192154"/>
    <n v="358.94468535807852"/>
    <x v="1"/>
    <s v="Cash"/>
  </r>
  <r>
    <s v="ORD0071"/>
    <x v="61"/>
    <x v="2"/>
    <s v="Uttar Pradesh"/>
    <s v="Pooja"/>
    <x v="2"/>
    <x v="14"/>
    <n v="2"/>
    <n v="8000"/>
    <n v="0"/>
    <n v="16000"/>
    <n v="10912.5563282249"/>
    <n v="5087.4436717750959"/>
    <x v="2"/>
    <s v="Card"/>
  </r>
  <r>
    <s v="ORD0072"/>
    <x v="26"/>
    <x v="1"/>
    <s v="Karnataka"/>
    <s v="Amit"/>
    <x v="0"/>
    <x v="12"/>
    <n v="2"/>
    <n v="180"/>
    <n v="0"/>
    <n v="360"/>
    <n v="231.17857621846059"/>
    <n v="128.82142378153941"/>
    <x v="1"/>
    <s v="UPI"/>
  </r>
  <r>
    <s v="ORD0073"/>
    <x v="62"/>
    <x v="2"/>
    <s v="Delhi"/>
    <s v="Sneha"/>
    <x v="2"/>
    <x v="15"/>
    <n v="9"/>
    <n v="7000"/>
    <n v="0.1"/>
    <n v="56700"/>
    <n v="43435.542766510531"/>
    <n v="13264.457233489469"/>
    <x v="0"/>
    <s v="Bank Transfer"/>
  </r>
  <r>
    <s v="ORD0074"/>
    <x v="63"/>
    <x v="3"/>
    <s v="Odisha"/>
    <s v="Priya"/>
    <x v="0"/>
    <x v="12"/>
    <n v="5"/>
    <n v="180"/>
    <n v="0.15"/>
    <n v="765"/>
    <n v="623.55265546193482"/>
    <n v="141.44734453806521"/>
    <x v="1"/>
    <s v="UPI"/>
  </r>
  <r>
    <s v="ORD0075"/>
    <x v="64"/>
    <x v="2"/>
    <s v="Uttar Pradesh"/>
    <s v="Amit"/>
    <x v="1"/>
    <x v="1"/>
    <n v="4"/>
    <n v="12000"/>
    <n v="0"/>
    <n v="48000"/>
    <n v="32493.994391178461"/>
    <n v="15506.005608821541"/>
    <x v="2"/>
    <s v="Bank Transfer"/>
  </r>
  <r>
    <s v="ORD0076"/>
    <x v="11"/>
    <x v="3"/>
    <s v="Odisha"/>
    <s v="Priya"/>
    <x v="1"/>
    <x v="1"/>
    <n v="5"/>
    <n v="12000"/>
    <n v="0.05"/>
    <n v="57000"/>
    <n v="42701.2283016933"/>
    <n v="14298.7716983067"/>
    <x v="0"/>
    <s v="UPI"/>
  </r>
  <r>
    <s v="ORD0077"/>
    <x v="65"/>
    <x v="2"/>
    <s v="Uttar Pradesh"/>
    <s v="Neha"/>
    <x v="2"/>
    <x v="14"/>
    <n v="2"/>
    <n v="8000"/>
    <n v="0.15"/>
    <n v="13600"/>
    <n v="9627.2987769789688"/>
    <n v="3972.7012230210312"/>
    <x v="1"/>
    <s v="Cash"/>
  </r>
  <r>
    <s v="ORD0078"/>
    <x v="66"/>
    <x v="0"/>
    <s v="Maharashtra"/>
    <s v="Rohan"/>
    <x v="0"/>
    <x v="9"/>
    <n v="8"/>
    <n v="80"/>
    <n v="0"/>
    <n v="640"/>
    <n v="420.99234122465111"/>
    <n v="219.00765877534889"/>
    <x v="2"/>
    <s v="Bank Transfer"/>
  </r>
  <r>
    <s v="ORD0079"/>
    <x v="67"/>
    <x v="3"/>
    <s v="West Bengal"/>
    <s v="Priya"/>
    <x v="1"/>
    <x v="3"/>
    <n v="12"/>
    <n v="9000"/>
    <n v="0.05"/>
    <n v="102600"/>
    <n v="74396.246841096421"/>
    <n v="28203.753158903579"/>
    <x v="1"/>
    <s v="Cash"/>
  </r>
  <r>
    <s v="ORD0080"/>
    <x v="68"/>
    <x v="2"/>
    <s v="Uttar Pradesh"/>
    <s v="Rahul"/>
    <x v="1"/>
    <x v="1"/>
    <n v="8"/>
    <n v="12000"/>
    <n v="0.15"/>
    <n v="81600"/>
    <n v="67185.329526695801"/>
    <n v="14414.670473304201"/>
    <x v="0"/>
    <s v="Bank Transfer"/>
  </r>
  <r>
    <s v="ORD0081"/>
    <x v="69"/>
    <x v="3"/>
    <s v="West Bengal"/>
    <s v="Rahul"/>
    <x v="3"/>
    <x v="13"/>
    <n v="7"/>
    <n v="3000"/>
    <n v="0.05"/>
    <n v="19950"/>
    <n v="13100.711376270239"/>
    <n v="6849.2886237297589"/>
    <x v="2"/>
    <s v="Bank Transfer"/>
  </r>
  <r>
    <s v="ORD0082"/>
    <x v="70"/>
    <x v="3"/>
    <s v="Odisha"/>
    <s v="Priya"/>
    <x v="3"/>
    <x v="11"/>
    <n v="8"/>
    <n v="900"/>
    <n v="0"/>
    <n v="7200"/>
    <n v="4480.8404122737984"/>
    <n v="2719.1595877262021"/>
    <x v="2"/>
    <s v="Cash"/>
  </r>
  <r>
    <s v="ORD0083"/>
    <x v="71"/>
    <x v="3"/>
    <s v="Odisha"/>
    <s v="Pooja"/>
    <x v="1"/>
    <x v="1"/>
    <n v="9"/>
    <n v="12000"/>
    <n v="0.05"/>
    <n v="102600"/>
    <n v="74866.225395426503"/>
    <n v="27733.7746045735"/>
    <x v="1"/>
    <s v="UPI"/>
  </r>
  <r>
    <s v="ORD0084"/>
    <x v="72"/>
    <x v="2"/>
    <s v="Uttar Pradesh"/>
    <s v="Sneha"/>
    <x v="2"/>
    <x v="5"/>
    <n v="8"/>
    <n v="6500"/>
    <n v="0.1"/>
    <n v="46800"/>
    <n v="30052.25595701694"/>
    <n v="16747.74404298306"/>
    <x v="0"/>
    <s v="UPI"/>
  </r>
  <r>
    <s v="ORD0085"/>
    <x v="73"/>
    <x v="2"/>
    <s v="Uttar Pradesh"/>
    <s v="Pooja"/>
    <x v="1"/>
    <x v="3"/>
    <n v="2"/>
    <n v="9000"/>
    <n v="0"/>
    <n v="18000"/>
    <n v="14007.944557096211"/>
    <n v="3992.0554429037888"/>
    <x v="1"/>
    <s v="UPI"/>
  </r>
  <r>
    <s v="ORD0086"/>
    <x v="74"/>
    <x v="3"/>
    <s v="Bihar"/>
    <s v="Pooja"/>
    <x v="0"/>
    <x v="9"/>
    <n v="7"/>
    <n v="80"/>
    <n v="0.1"/>
    <n v="504"/>
    <n v="434.2555086793148"/>
    <n v="69.744491320685199"/>
    <x v="0"/>
    <s v="UPI"/>
  </r>
  <r>
    <s v="ORD0087"/>
    <x v="75"/>
    <x v="3"/>
    <s v="West Bengal"/>
    <s v="Neha"/>
    <x v="2"/>
    <x v="15"/>
    <n v="5"/>
    <n v="7000"/>
    <n v="0.1"/>
    <n v="31500"/>
    <n v="21985.99570707008"/>
    <n v="9514.0042929299198"/>
    <x v="1"/>
    <s v="Card"/>
  </r>
  <r>
    <s v="ORD0088"/>
    <x v="76"/>
    <x v="2"/>
    <s v="Uttar Pradesh"/>
    <s v="Rohan"/>
    <x v="3"/>
    <x v="7"/>
    <n v="8"/>
    <n v="2200"/>
    <n v="0.15"/>
    <n v="14960"/>
    <n v="11640.613928713359"/>
    <n v="3319.3860712866349"/>
    <x v="2"/>
    <s v="Card"/>
  </r>
  <r>
    <s v="ORD0089"/>
    <x v="77"/>
    <x v="1"/>
    <s v="Telangana"/>
    <s v="Rohan"/>
    <x v="2"/>
    <x v="14"/>
    <n v="4"/>
    <n v="8000"/>
    <n v="0.1"/>
    <n v="28800"/>
    <n v="17921.24412135614"/>
    <n v="10878.75587864386"/>
    <x v="2"/>
    <s v="UPI"/>
  </r>
  <r>
    <s v="ORD0090"/>
    <x v="78"/>
    <x v="3"/>
    <s v="West Bengal"/>
    <s v="Priya"/>
    <x v="2"/>
    <x v="5"/>
    <n v="14"/>
    <n v="6500"/>
    <n v="0"/>
    <n v="91000"/>
    <n v="68346.80452895668"/>
    <n v="22653.19547104332"/>
    <x v="0"/>
    <s v="Bank Transfer"/>
  </r>
  <r>
    <s v="ORD0091"/>
    <x v="79"/>
    <x v="0"/>
    <s v="Goa"/>
    <s v="Vikas"/>
    <x v="2"/>
    <x v="14"/>
    <n v="14"/>
    <n v="8000"/>
    <n v="0"/>
    <n v="112000"/>
    <n v="63527.575674757943"/>
    <n v="48472.424325242057"/>
    <x v="0"/>
    <s v="Bank Transfer"/>
  </r>
  <r>
    <s v="ORD0092"/>
    <x v="80"/>
    <x v="0"/>
    <s v="Gujarat"/>
    <s v="Priya"/>
    <x v="3"/>
    <x v="13"/>
    <n v="11"/>
    <n v="3000"/>
    <n v="0.1"/>
    <n v="29700"/>
    <n v="24771.38710205489"/>
    <n v="4928.6128979451096"/>
    <x v="1"/>
    <s v="Card"/>
  </r>
  <r>
    <s v="ORD0093"/>
    <x v="81"/>
    <x v="1"/>
    <s v="Telangana"/>
    <s v="Neha"/>
    <x v="1"/>
    <x v="3"/>
    <n v="2"/>
    <n v="9000"/>
    <n v="0"/>
    <n v="18000"/>
    <n v="11736.829203879461"/>
    <n v="6263.1707961205366"/>
    <x v="1"/>
    <s v="Cash"/>
  </r>
  <r>
    <s v="ORD0094"/>
    <x v="82"/>
    <x v="2"/>
    <s v="Delhi"/>
    <s v="Rohan"/>
    <x v="0"/>
    <x v="9"/>
    <n v="6"/>
    <n v="80"/>
    <n v="0.1"/>
    <n v="432"/>
    <n v="280.07090544521361"/>
    <n v="151.92909455478639"/>
    <x v="0"/>
    <s v="UPI"/>
  </r>
  <r>
    <s v="ORD0095"/>
    <x v="83"/>
    <x v="1"/>
    <s v="Karnataka"/>
    <s v="Rahul"/>
    <x v="1"/>
    <x v="3"/>
    <n v="10"/>
    <n v="9000"/>
    <n v="0"/>
    <n v="90000"/>
    <n v="59801.712124016587"/>
    <n v="30198.287875983409"/>
    <x v="1"/>
    <s v="Bank Transfer"/>
  </r>
  <r>
    <s v="ORD0096"/>
    <x v="0"/>
    <x v="2"/>
    <s v="Rajasthan"/>
    <s v="Rahul"/>
    <x v="0"/>
    <x v="2"/>
    <n v="15"/>
    <n v="120"/>
    <n v="0.1"/>
    <n v="1620"/>
    <n v="1363.100701369938"/>
    <n v="256.89929863006228"/>
    <x v="1"/>
    <s v="Bank Transfer"/>
  </r>
  <r>
    <s v="ORD0097"/>
    <x v="84"/>
    <x v="2"/>
    <s v="Uttar Pradesh"/>
    <s v="Sneha"/>
    <x v="0"/>
    <x v="12"/>
    <n v="12"/>
    <n v="180"/>
    <n v="0.05"/>
    <n v="2052"/>
    <n v="1414.956031733356"/>
    <n v="637.04396826664356"/>
    <x v="2"/>
    <s v="Bank Transfer"/>
  </r>
  <r>
    <s v="ORD0098"/>
    <x v="85"/>
    <x v="0"/>
    <s v="Maharashtra"/>
    <s v="Amit"/>
    <x v="3"/>
    <x v="13"/>
    <n v="10"/>
    <n v="3000"/>
    <n v="0.05"/>
    <n v="28500"/>
    <n v="23349.575101025599"/>
    <n v="5150.4248989744046"/>
    <x v="0"/>
    <s v="Bank Transfer"/>
  </r>
  <r>
    <s v="ORD0099"/>
    <x v="86"/>
    <x v="2"/>
    <s v="Delhi"/>
    <s v="Vikas"/>
    <x v="1"/>
    <x v="3"/>
    <n v="14"/>
    <n v="9000"/>
    <n v="0.05"/>
    <n v="119700"/>
    <n v="91780.973588905981"/>
    <n v="27919.026411094019"/>
    <x v="1"/>
    <s v="UPI"/>
  </r>
  <r>
    <s v="ORD0100"/>
    <x v="78"/>
    <x v="2"/>
    <s v="Uttar Pradesh"/>
    <s v="Amit"/>
    <x v="2"/>
    <x v="15"/>
    <n v="15"/>
    <n v="7000"/>
    <n v="0"/>
    <n v="105000"/>
    <n v="65210.729147456157"/>
    <n v="39789.270852543843"/>
    <x v="0"/>
    <s v="Card"/>
  </r>
  <r>
    <s v="ORD0101"/>
    <x v="18"/>
    <x v="1"/>
    <s v="Karnataka"/>
    <s v="Vikas"/>
    <x v="0"/>
    <x v="9"/>
    <n v="12"/>
    <n v="80"/>
    <n v="0.1"/>
    <n v="864"/>
    <n v="566.78132755410297"/>
    <n v="297.21867244589703"/>
    <x v="0"/>
    <s v="Card"/>
  </r>
  <r>
    <s v="ORD0102"/>
    <x v="87"/>
    <x v="1"/>
    <s v="Tamil Nadu"/>
    <s v="Priya"/>
    <x v="3"/>
    <x v="13"/>
    <n v="12"/>
    <n v="3000"/>
    <n v="0.05"/>
    <n v="34200"/>
    <n v="26459.04541964535"/>
    <n v="7740.9545803546498"/>
    <x v="1"/>
    <s v="UPI"/>
  </r>
  <r>
    <s v="ORD0103"/>
    <x v="88"/>
    <x v="3"/>
    <s v="Bihar"/>
    <s v="Priya"/>
    <x v="0"/>
    <x v="2"/>
    <n v="13"/>
    <n v="120"/>
    <n v="0.1"/>
    <n v="1404"/>
    <n v="862.9940134502034"/>
    <n v="541.0059865497966"/>
    <x v="2"/>
    <s v="Card"/>
  </r>
  <r>
    <s v="ORD0104"/>
    <x v="89"/>
    <x v="2"/>
    <s v="Uttar Pradesh"/>
    <s v="Vikas"/>
    <x v="3"/>
    <x v="13"/>
    <n v="2"/>
    <n v="3000"/>
    <n v="0"/>
    <n v="6000"/>
    <n v="3950.6380778143848"/>
    <n v="2049.3619221856152"/>
    <x v="0"/>
    <s v="UPI"/>
  </r>
  <r>
    <s v="ORD0105"/>
    <x v="90"/>
    <x v="0"/>
    <s v="Goa"/>
    <s v="Amit"/>
    <x v="3"/>
    <x v="13"/>
    <n v="11"/>
    <n v="3000"/>
    <n v="0.1"/>
    <n v="29700"/>
    <n v="19035.570359758349"/>
    <n v="10664.429640241649"/>
    <x v="2"/>
    <s v="Bank Transfer"/>
  </r>
  <r>
    <s v="ORD0106"/>
    <x v="91"/>
    <x v="0"/>
    <s v="Maharashtra"/>
    <s v="Rohan"/>
    <x v="2"/>
    <x v="8"/>
    <n v="7"/>
    <n v="11000"/>
    <n v="0.1"/>
    <n v="69300"/>
    <n v="48920.613939272691"/>
    <n v="20379.386060727309"/>
    <x v="0"/>
    <s v="UPI"/>
  </r>
  <r>
    <s v="ORD0107"/>
    <x v="92"/>
    <x v="3"/>
    <s v="Bihar"/>
    <s v="Amit"/>
    <x v="1"/>
    <x v="3"/>
    <n v="10"/>
    <n v="9000"/>
    <n v="0.1"/>
    <n v="81000"/>
    <n v="68938.39846027267"/>
    <n v="12061.60153972733"/>
    <x v="0"/>
    <s v="Card"/>
  </r>
  <r>
    <s v="ORD0108"/>
    <x v="93"/>
    <x v="1"/>
    <s v="Tamil Nadu"/>
    <s v="Vikas"/>
    <x v="3"/>
    <x v="7"/>
    <n v="14"/>
    <n v="2200"/>
    <n v="0.05"/>
    <n v="29260"/>
    <n v="17643.828160709829"/>
    <n v="11616.171839290169"/>
    <x v="0"/>
    <s v="Card"/>
  </r>
  <r>
    <s v="ORD0109"/>
    <x v="94"/>
    <x v="0"/>
    <s v="Gujarat"/>
    <s v="Amit"/>
    <x v="0"/>
    <x v="0"/>
    <n v="2"/>
    <n v="250"/>
    <n v="0.1"/>
    <n v="450"/>
    <n v="285.54244373901491"/>
    <n v="164.45755626098509"/>
    <x v="1"/>
    <s v="Card"/>
  </r>
  <r>
    <s v="ORD0110"/>
    <x v="95"/>
    <x v="1"/>
    <s v="Karnataka"/>
    <s v="Sneha"/>
    <x v="2"/>
    <x v="15"/>
    <n v="14"/>
    <n v="7000"/>
    <n v="0.15"/>
    <n v="83300"/>
    <n v="58569.327127613687"/>
    <n v="24730.672872386309"/>
    <x v="2"/>
    <s v="UPI"/>
  </r>
  <r>
    <s v="ORD0111"/>
    <x v="96"/>
    <x v="0"/>
    <s v="Gujarat"/>
    <s v="Amit"/>
    <x v="2"/>
    <x v="8"/>
    <n v="9"/>
    <n v="11000"/>
    <n v="0.05"/>
    <n v="94050"/>
    <n v="72632.1597624071"/>
    <n v="21417.8402375929"/>
    <x v="1"/>
    <s v="Cash"/>
  </r>
  <r>
    <s v="ORD0112"/>
    <x v="97"/>
    <x v="2"/>
    <s v="Delhi"/>
    <s v="Priya"/>
    <x v="0"/>
    <x v="2"/>
    <n v="3"/>
    <n v="120"/>
    <n v="0.05"/>
    <n v="342"/>
    <n v="202.3386386789054"/>
    <n v="139.6613613210946"/>
    <x v="0"/>
    <s v="Cash"/>
  </r>
  <r>
    <s v="ORD0113"/>
    <x v="98"/>
    <x v="3"/>
    <s v="Odisha"/>
    <s v="Amit"/>
    <x v="0"/>
    <x v="2"/>
    <n v="8"/>
    <n v="120"/>
    <n v="0.15"/>
    <n v="816"/>
    <n v="576.91818621715743"/>
    <n v="239.0818137828426"/>
    <x v="0"/>
    <s v="Card"/>
  </r>
  <r>
    <s v="ORD0114"/>
    <x v="99"/>
    <x v="3"/>
    <s v="Bihar"/>
    <s v="Pooja"/>
    <x v="1"/>
    <x v="10"/>
    <n v="8"/>
    <n v="55000"/>
    <n v="0.1"/>
    <n v="396000"/>
    <n v="285138.8902711352"/>
    <n v="110861.1097288648"/>
    <x v="0"/>
    <s v="Bank Transfer"/>
  </r>
  <r>
    <s v="ORD0115"/>
    <x v="100"/>
    <x v="0"/>
    <s v="Maharashtra"/>
    <s v="Vikas"/>
    <x v="0"/>
    <x v="0"/>
    <n v="2"/>
    <n v="250"/>
    <n v="0"/>
    <n v="500"/>
    <n v="306.62683994916461"/>
    <n v="193.37316005083539"/>
    <x v="2"/>
    <s v="Card"/>
  </r>
  <r>
    <s v="ORD0116"/>
    <x v="49"/>
    <x v="3"/>
    <s v="Bihar"/>
    <s v="Sneha"/>
    <x v="3"/>
    <x v="11"/>
    <n v="13"/>
    <n v="900"/>
    <n v="0"/>
    <n v="11700"/>
    <n v="8729.8652560623923"/>
    <n v="2970.1347439376082"/>
    <x v="2"/>
    <s v="Bank Transfer"/>
  </r>
  <r>
    <s v="ORD0117"/>
    <x v="101"/>
    <x v="1"/>
    <s v="Tamil Nadu"/>
    <s v="Rohan"/>
    <x v="0"/>
    <x v="12"/>
    <n v="7"/>
    <n v="180"/>
    <n v="0.1"/>
    <n v="1134"/>
    <n v="904.44170471247935"/>
    <n v="229.55829528752071"/>
    <x v="2"/>
    <s v="Card"/>
  </r>
  <r>
    <s v="ORD0118"/>
    <x v="102"/>
    <x v="2"/>
    <s v="Delhi"/>
    <s v="Vikas"/>
    <x v="3"/>
    <x v="11"/>
    <n v="2"/>
    <n v="900"/>
    <n v="0"/>
    <n v="1800"/>
    <n v="1028.5972621053229"/>
    <n v="771.40273789467733"/>
    <x v="1"/>
    <s v="Cash"/>
  </r>
  <r>
    <s v="ORD0119"/>
    <x v="103"/>
    <x v="2"/>
    <s v="Uttar Pradesh"/>
    <s v="Neha"/>
    <x v="1"/>
    <x v="3"/>
    <n v="6"/>
    <n v="9000"/>
    <n v="0.1"/>
    <n v="48600"/>
    <n v="40481.704488953786"/>
    <n v="8118.2955110462144"/>
    <x v="0"/>
    <s v="Card"/>
  </r>
  <r>
    <s v="ORD0120"/>
    <x v="99"/>
    <x v="2"/>
    <s v="Delhi"/>
    <s v="Vikas"/>
    <x v="2"/>
    <x v="8"/>
    <n v="11"/>
    <n v="11000"/>
    <n v="0.1"/>
    <n v="108900"/>
    <n v="72790.73470726356"/>
    <n v="36109.26529273644"/>
    <x v="0"/>
    <s v="Card"/>
  </r>
  <r>
    <s v="ORD0121"/>
    <x v="104"/>
    <x v="0"/>
    <s v="Gujarat"/>
    <s v="Amit"/>
    <x v="2"/>
    <x v="14"/>
    <n v="14"/>
    <n v="8000"/>
    <n v="0.15"/>
    <n v="95200"/>
    <n v="86704.320470758248"/>
    <n v="8495.6795292417519"/>
    <x v="0"/>
    <s v="Card"/>
  </r>
  <r>
    <s v="ORD0122"/>
    <x v="105"/>
    <x v="0"/>
    <s v="Maharashtra"/>
    <s v="Rahul"/>
    <x v="0"/>
    <x v="9"/>
    <n v="15"/>
    <n v="80"/>
    <n v="0.05"/>
    <n v="1140"/>
    <n v="756.88246412340698"/>
    <n v="383.11753587659302"/>
    <x v="0"/>
    <s v="Bank Transfer"/>
  </r>
  <r>
    <s v="ORD0123"/>
    <x v="46"/>
    <x v="0"/>
    <s v="Maharashtra"/>
    <s v="Pooja"/>
    <x v="1"/>
    <x v="10"/>
    <n v="12"/>
    <n v="55000"/>
    <n v="0.15"/>
    <n v="561000"/>
    <n v="395657.17118908698"/>
    <n v="165342.82881091299"/>
    <x v="2"/>
    <s v="UPI"/>
  </r>
  <r>
    <s v="ORD0124"/>
    <x v="62"/>
    <x v="2"/>
    <s v="Rajasthan"/>
    <s v="Amit"/>
    <x v="0"/>
    <x v="2"/>
    <n v="15"/>
    <n v="120"/>
    <n v="0"/>
    <n v="1800"/>
    <n v="1054.4100800094579"/>
    <n v="745.58991999054183"/>
    <x v="0"/>
    <s v="Cash"/>
  </r>
  <r>
    <s v="ORD0125"/>
    <x v="95"/>
    <x v="2"/>
    <s v="Rajasthan"/>
    <s v="Priya"/>
    <x v="3"/>
    <x v="6"/>
    <n v="10"/>
    <n v="1200"/>
    <n v="0.1"/>
    <n v="10800"/>
    <n v="7743.1471165563207"/>
    <n v="3056.8528834436788"/>
    <x v="2"/>
    <s v="Bank Transfer"/>
  </r>
  <r>
    <s v="ORD0126"/>
    <x v="106"/>
    <x v="0"/>
    <s v="Gujarat"/>
    <s v="Amit"/>
    <x v="3"/>
    <x v="13"/>
    <n v="1"/>
    <n v="3000"/>
    <n v="0"/>
    <n v="3000"/>
    <n v="1922.7317433004639"/>
    <n v="1077.2682566995361"/>
    <x v="1"/>
    <s v="UPI"/>
  </r>
  <r>
    <s v="ORD0127"/>
    <x v="107"/>
    <x v="2"/>
    <s v="Delhi"/>
    <s v="Rohan"/>
    <x v="2"/>
    <x v="5"/>
    <n v="5"/>
    <n v="6500"/>
    <n v="0.05"/>
    <n v="30875"/>
    <n v="18771.882969198981"/>
    <n v="12103.117030801021"/>
    <x v="1"/>
    <s v="UPI"/>
  </r>
  <r>
    <s v="ORD0128"/>
    <x v="108"/>
    <x v="3"/>
    <s v="Bihar"/>
    <s v="Rohan"/>
    <x v="2"/>
    <x v="5"/>
    <n v="2"/>
    <n v="6500"/>
    <n v="0.1"/>
    <n v="11700"/>
    <n v="9726.6754424475403"/>
    <n v="1973.32455755246"/>
    <x v="1"/>
    <s v="Bank Transfer"/>
  </r>
  <r>
    <s v="ORD0129"/>
    <x v="47"/>
    <x v="0"/>
    <s v="Gujarat"/>
    <s v="Amit"/>
    <x v="3"/>
    <x v="6"/>
    <n v="12"/>
    <n v="1200"/>
    <n v="0.1"/>
    <n v="12960"/>
    <n v="8878.8743609000321"/>
    <n v="4081.1256390999679"/>
    <x v="2"/>
    <s v="UPI"/>
  </r>
  <r>
    <s v="ORD0130"/>
    <x v="109"/>
    <x v="3"/>
    <s v="Bihar"/>
    <s v="Rohan"/>
    <x v="0"/>
    <x v="2"/>
    <n v="7"/>
    <n v="120"/>
    <n v="0"/>
    <n v="840"/>
    <n v="509.00874293575208"/>
    <n v="330.99125706424792"/>
    <x v="0"/>
    <s v="Cash"/>
  </r>
  <r>
    <s v="ORD0131"/>
    <x v="100"/>
    <x v="3"/>
    <s v="Odisha"/>
    <s v="Priya"/>
    <x v="0"/>
    <x v="0"/>
    <n v="6"/>
    <n v="250"/>
    <n v="0"/>
    <n v="1500"/>
    <n v="851.3508852281924"/>
    <n v="648.6491147718076"/>
    <x v="0"/>
    <s v="UPI"/>
  </r>
  <r>
    <s v="ORD0132"/>
    <x v="110"/>
    <x v="2"/>
    <s v="Rajasthan"/>
    <s v="Rahul"/>
    <x v="2"/>
    <x v="8"/>
    <n v="2"/>
    <n v="11000"/>
    <n v="0"/>
    <n v="22000"/>
    <n v="13395.19920332875"/>
    <n v="8604.8007966712466"/>
    <x v="0"/>
    <s v="Cash"/>
  </r>
  <r>
    <s v="ORD0133"/>
    <x v="111"/>
    <x v="1"/>
    <s v="Telangana"/>
    <s v="Vikas"/>
    <x v="3"/>
    <x v="6"/>
    <n v="13"/>
    <n v="1200"/>
    <n v="0.15"/>
    <n v="13260"/>
    <n v="11306.4392127926"/>
    <n v="1953.5607872073981"/>
    <x v="0"/>
    <s v="Card"/>
  </r>
  <r>
    <s v="ORD0134"/>
    <x v="112"/>
    <x v="1"/>
    <s v="Tamil Nadu"/>
    <s v="Amit"/>
    <x v="1"/>
    <x v="3"/>
    <n v="8"/>
    <n v="9000"/>
    <n v="0.05"/>
    <n v="68400"/>
    <n v="52787.219486747657"/>
    <n v="15612.780513252341"/>
    <x v="2"/>
    <s v="Cash"/>
  </r>
  <r>
    <s v="ORD0135"/>
    <x v="113"/>
    <x v="2"/>
    <s v="Rajasthan"/>
    <s v="Priya"/>
    <x v="3"/>
    <x v="11"/>
    <n v="1"/>
    <n v="900"/>
    <n v="0.05"/>
    <n v="855"/>
    <n v="667.16120275426613"/>
    <n v="187.8387972457339"/>
    <x v="0"/>
    <s v="Bank Transfer"/>
  </r>
  <r>
    <s v="ORD0136"/>
    <x v="114"/>
    <x v="3"/>
    <s v="Bihar"/>
    <s v="Pooja"/>
    <x v="1"/>
    <x v="3"/>
    <n v="15"/>
    <n v="9000"/>
    <n v="0.15"/>
    <n v="114750"/>
    <n v="94489.552966839343"/>
    <n v="20260.447033160661"/>
    <x v="0"/>
    <s v="UPI"/>
  </r>
  <r>
    <s v="ORD0137"/>
    <x v="110"/>
    <x v="0"/>
    <s v="Gujarat"/>
    <s v="Amit"/>
    <x v="1"/>
    <x v="4"/>
    <n v="12"/>
    <n v="1800"/>
    <n v="0"/>
    <n v="21600"/>
    <n v="14386.599439456761"/>
    <n v="7213.400560543243"/>
    <x v="1"/>
    <s v="Bank Transfer"/>
  </r>
  <r>
    <s v="ORD0138"/>
    <x v="115"/>
    <x v="3"/>
    <s v="Bihar"/>
    <s v="Amit"/>
    <x v="2"/>
    <x v="5"/>
    <n v="6"/>
    <n v="6500"/>
    <n v="0.05"/>
    <n v="37050"/>
    <n v="24925.126538922352"/>
    <n v="12124.87346107765"/>
    <x v="0"/>
    <s v="Card"/>
  </r>
  <r>
    <s v="ORD0139"/>
    <x v="116"/>
    <x v="0"/>
    <s v="Gujarat"/>
    <s v="Rahul"/>
    <x v="1"/>
    <x v="3"/>
    <n v="5"/>
    <n v="9000"/>
    <n v="0.05"/>
    <n v="42750"/>
    <n v="32240.643329275481"/>
    <n v="10509.356670724521"/>
    <x v="2"/>
    <s v="Cash"/>
  </r>
  <r>
    <s v="ORD0140"/>
    <x v="117"/>
    <x v="1"/>
    <s v="Tamil Nadu"/>
    <s v="Neha"/>
    <x v="0"/>
    <x v="12"/>
    <n v="3"/>
    <n v="180"/>
    <n v="0.15"/>
    <n v="459"/>
    <n v="385.03718458488493"/>
    <n v="73.962815415115074"/>
    <x v="0"/>
    <s v="Bank Transfer"/>
  </r>
  <r>
    <s v="ORD0141"/>
    <x v="118"/>
    <x v="2"/>
    <s v="Delhi"/>
    <s v="Rahul"/>
    <x v="1"/>
    <x v="3"/>
    <n v="9"/>
    <n v="9000"/>
    <n v="0.05"/>
    <n v="76950"/>
    <n v="44889.634919056261"/>
    <n v="32060.365080943739"/>
    <x v="1"/>
    <s v="Card"/>
  </r>
  <r>
    <s v="ORD0142"/>
    <x v="119"/>
    <x v="3"/>
    <s v="West Bengal"/>
    <s v="Amit"/>
    <x v="2"/>
    <x v="8"/>
    <n v="3"/>
    <n v="11000"/>
    <n v="0"/>
    <n v="33000"/>
    <n v="20395.06205155858"/>
    <n v="12604.93794844142"/>
    <x v="0"/>
    <s v="Card"/>
  </r>
  <r>
    <s v="ORD0143"/>
    <x v="120"/>
    <x v="1"/>
    <s v="Telangana"/>
    <s v="Rahul"/>
    <x v="3"/>
    <x v="7"/>
    <n v="3"/>
    <n v="2200"/>
    <n v="0"/>
    <n v="6600"/>
    <n v="4891.9817960540931"/>
    <n v="1708.0182039459071"/>
    <x v="0"/>
    <s v="Bank Transfer"/>
  </r>
  <r>
    <s v="ORD0144"/>
    <x v="111"/>
    <x v="0"/>
    <s v="Gujarat"/>
    <s v="Sneha"/>
    <x v="0"/>
    <x v="0"/>
    <n v="8"/>
    <n v="250"/>
    <n v="0.15"/>
    <n v="1700"/>
    <n v="1231.0668489791451"/>
    <n v="468.93315102085512"/>
    <x v="0"/>
    <s v="UPI"/>
  </r>
  <r>
    <s v="ORD0145"/>
    <x v="48"/>
    <x v="2"/>
    <s v="Rajasthan"/>
    <s v="Neha"/>
    <x v="2"/>
    <x v="5"/>
    <n v="11"/>
    <n v="6500"/>
    <n v="0.15"/>
    <n v="60775"/>
    <n v="55514.112404626787"/>
    <n v="5260.8875953732058"/>
    <x v="2"/>
    <s v="Bank Transfer"/>
  </r>
  <r>
    <s v="ORD0146"/>
    <x v="57"/>
    <x v="1"/>
    <s v="Karnataka"/>
    <s v="Priya"/>
    <x v="2"/>
    <x v="5"/>
    <n v="1"/>
    <n v="6500"/>
    <n v="0.1"/>
    <n v="5850"/>
    <n v="4881.8048328530949"/>
    <n v="968.19516714690508"/>
    <x v="0"/>
    <s v="Cash"/>
  </r>
  <r>
    <s v="ORD0147"/>
    <x v="121"/>
    <x v="2"/>
    <s v="Delhi"/>
    <s v="Priya"/>
    <x v="2"/>
    <x v="5"/>
    <n v="8"/>
    <n v="6500"/>
    <n v="0.15"/>
    <n v="44200"/>
    <n v="30362.289925659588"/>
    <n v="13837.71007434041"/>
    <x v="1"/>
    <s v="Bank Transfer"/>
  </r>
  <r>
    <s v="ORD0148"/>
    <x v="122"/>
    <x v="2"/>
    <s v="Delhi"/>
    <s v="Priya"/>
    <x v="3"/>
    <x v="11"/>
    <n v="7"/>
    <n v="900"/>
    <n v="0.15"/>
    <n v="5355"/>
    <n v="4006.8701956468999"/>
    <n v="1348.1298043531001"/>
    <x v="2"/>
    <s v="UPI"/>
  </r>
  <r>
    <s v="ORD0149"/>
    <x v="44"/>
    <x v="0"/>
    <s v="Gujarat"/>
    <s v="Pooja"/>
    <x v="1"/>
    <x v="4"/>
    <n v="13"/>
    <n v="1800"/>
    <n v="0"/>
    <n v="23400"/>
    <n v="13610.560981140639"/>
    <n v="9789.439018859357"/>
    <x v="0"/>
    <s v="UPI"/>
  </r>
  <r>
    <s v="ORD0150"/>
    <x v="65"/>
    <x v="3"/>
    <s v="Odisha"/>
    <s v="Rohan"/>
    <x v="1"/>
    <x v="10"/>
    <n v="1"/>
    <n v="55000"/>
    <n v="0.05"/>
    <n v="52250"/>
    <n v="32978.032517524683"/>
    <n v="19271.96748247532"/>
    <x v="1"/>
    <s v="Card"/>
  </r>
  <r>
    <s v="ORD0151"/>
    <x v="104"/>
    <x v="1"/>
    <s v="Tamil Nadu"/>
    <s v="Pooja"/>
    <x v="1"/>
    <x v="10"/>
    <n v="4"/>
    <n v="55000"/>
    <n v="0.1"/>
    <n v="198000"/>
    <n v="153330.95764794419"/>
    <n v="44669.042352055811"/>
    <x v="1"/>
    <s v="Cash"/>
  </r>
  <r>
    <s v="ORD0152"/>
    <x v="123"/>
    <x v="3"/>
    <s v="Bihar"/>
    <s v="Vikas"/>
    <x v="1"/>
    <x v="1"/>
    <n v="12"/>
    <n v="12000"/>
    <n v="0"/>
    <n v="144000"/>
    <n v="88846.928235116546"/>
    <n v="55153.071764883447"/>
    <x v="1"/>
    <s v="Bank Transfer"/>
  </r>
  <r>
    <s v="ORD0153"/>
    <x v="75"/>
    <x v="1"/>
    <s v="Telangana"/>
    <s v="Amit"/>
    <x v="1"/>
    <x v="4"/>
    <n v="2"/>
    <n v="1800"/>
    <n v="0.15"/>
    <n v="3060"/>
    <n v="2430.4998628204121"/>
    <n v="629.50013717958836"/>
    <x v="2"/>
    <s v="Bank Transfer"/>
  </r>
  <r>
    <s v="ORD0154"/>
    <x v="124"/>
    <x v="0"/>
    <s v="Goa"/>
    <s v="Vikas"/>
    <x v="3"/>
    <x v="13"/>
    <n v="5"/>
    <n v="3000"/>
    <n v="0"/>
    <n v="15000"/>
    <n v="9481.9738739758286"/>
    <n v="5518.0261260241714"/>
    <x v="1"/>
    <s v="Cash"/>
  </r>
  <r>
    <s v="ORD0155"/>
    <x v="125"/>
    <x v="2"/>
    <s v="Delhi"/>
    <s v="Pooja"/>
    <x v="1"/>
    <x v="4"/>
    <n v="9"/>
    <n v="1800"/>
    <n v="0.05"/>
    <n v="15390"/>
    <n v="11941.13403306199"/>
    <n v="3448.865966938014"/>
    <x v="0"/>
    <s v="Bank Transfer"/>
  </r>
  <r>
    <s v="ORD0156"/>
    <x v="126"/>
    <x v="1"/>
    <s v="Karnataka"/>
    <s v="Amit"/>
    <x v="1"/>
    <x v="3"/>
    <n v="1"/>
    <n v="9000"/>
    <n v="0.05"/>
    <n v="8550"/>
    <n v="5367.2933551719716"/>
    <n v="3182.7066448280279"/>
    <x v="2"/>
    <s v="Card"/>
  </r>
  <r>
    <s v="ORD0157"/>
    <x v="9"/>
    <x v="3"/>
    <s v="Bihar"/>
    <s v="Vikas"/>
    <x v="3"/>
    <x v="13"/>
    <n v="1"/>
    <n v="3000"/>
    <n v="0"/>
    <n v="3000"/>
    <n v="1847.4165179305689"/>
    <n v="1152.5834820694311"/>
    <x v="2"/>
    <s v="Cash"/>
  </r>
  <r>
    <s v="ORD0158"/>
    <x v="127"/>
    <x v="2"/>
    <s v="Rajasthan"/>
    <s v="Pooja"/>
    <x v="3"/>
    <x v="6"/>
    <n v="15"/>
    <n v="1200"/>
    <n v="0.1"/>
    <n v="16200"/>
    <n v="11303.611641609779"/>
    <n v="4896.3883583902152"/>
    <x v="0"/>
    <s v="Bank Transfer"/>
  </r>
  <r>
    <s v="ORD0159"/>
    <x v="128"/>
    <x v="2"/>
    <s v="Uttar Pradesh"/>
    <s v="Rahul"/>
    <x v="0"/>
    <x v="2"/>
    <n v="12"/>
    <n v="120"/>
    <n v="0.1"/>
    <n v="1296"/>
    <n v="818.14062440557097"/>
    <n v="477.85937559442903"/>
    <x v="0"/>
    <s v="Card"/>
  </r>
  <r>
    <s v="ORD0160"/>
    <x v="128"/>
    <x v="2"/>
    <s v="Delhi"/>
    <s v="Rohan"/>
    <x v="1"/>
    <x v="4"/>
    <n v="11"/>
    <n v="1800"/>
    <n v="0.05"/>
    <n v="18810"/>
    <n v="12285.782128637289"/>
    <n v="6524.2178713627127"/>
    <x v="1"/>
    <s v="Bank Transfer"/>
  </r>
  <r>
    <s v="ORD0161"/>
    <x v="129"/>
    <x v="2"/>
    <s v="Rajasthan"/>
    <s v="Priya"/>
    <x v="1"/>
    <x v="4"/>
    <n v="10"/>
    <n v="1800"/>
    <n v="0.1"/>
    <n v="16200"/>
    <n v="11036.65919070991"/>
    <n v="5163.34080929009"/>
    <x v="0"/>
    <s v="Bank Transfer"/>
  </r>
  <r>
    <s v="ORD0162"/>
    <x v="130"/>
    <x v="2"/>
    <s v="Uttar Pradesh"/>
    <s v="Amit"/>
    <x v="2"/>
    <x v="15"/>
    <n v="3"/>
    <n v="7000"/>
    <n v="0.15"/>
    <n v="17850"/>
    <n v="14825.16925173802"/>
    <n v="3024.8307482619821"/>
    <x v="1"/>
    <s v="Cash"/>
  </r>
  <r>
    <s v="ORD0163"/>
    <x v="12"/>
    <x v="1"/>
    <s v="Telangana"/>
    <s v="Pooja"/>
    <x v="0"/>
    <x v="9"/>
    <n v="7"/>
    <n v="80"/>
    <n v="0.15"/>
    <n v="476"/>
    <n v="312.17122972858112"/>
    <n v="163.8287702714189"/>
    <x v="2"/>
    <s v="Card"/>
  </r>
  <r>
    <s v="ORD0164"/>
    <x v="131"/>
    <x v="3"/>
    <s v="West Bengal"/>
    <s v="Priya"/>
    <x v="2"/>
    <x v="5"/>
    <n v="7"/>
    <n v="6500"/>
    <n v="0.05"/>
    <n v="43225"/>
    <n v="31822.65310962862"/>
    <n v="11402.34689037138"/>
    <x v="1"/>
    <s v="UPI"/>
  </r>
  <r>
    <s v="ORD0165"/>
    <x v="132"/>
    <x v="3"/>
    <s v="Bihar"/>
    <s v="Neha"/>
    <x v="3"/>
    <x v="11"/>
    <n v="5"/>
    <n v="900"/>
    <n v="0.05"/>
    <n v="4275"/>
    <n v="3203.679134599065"/>
    <n v="1071.320865400935"/>
    <x v="0"/>
    <s v="Bank Transfer"/>
  </r>
  <r>
    <s v="ORD0166"/>
    <x v="133"/>
    <x v="1"/>
    <s v="Karnataka"/>
    <s v="Priya"/>
    <x v="2"/>
    <x v="15"/>
    <n v="8"/>
    <n v="7000"/>
    <n v="0"/>
    <n v="56000"/>
    <n v="42374.985916526653"/>
    <n v="13625.01408347335"/>
    <x v="0"/>
    <s v="Card"/>
  </r>
  <r>
    <s v="ORD0167"/>
    <x v="134"/>
    <x v="2"/>
    <s v="Uttar Pradesh"/>
    <s v="Rahul"/>
    <x v="1"/>
    <x v="4"/>
    <n v="15"/>
    <n v="1800"/>
    <n v="0.05"/>
    <n v="25650"/>
    <n v="20136.958335176911"/>
    <n v="5513.0416648230857"/>
    <x v="2"/>
    <s v="UPI"/>
  </r>
  <r>
    <s v="ORD0168"/>
    <x v="57"/>
    <x v="0"/>
    <s v="Maharashtra"/>
    <s v="Vikas"/>
    <x v="2"/>
    <x v="8"/>
    <n v="13"/>
    <n v="11000"/>
    <n v="0.1"/>
    <n v="128700"/>
    <n v="79514.481641723876"/>
    <n v="49185.518358276116"/>
    <x v="2"/>
    <s v="UPI"/>
  </r>
  <r>
    <s v="ORD0169"/>
    <x v="135"/>
    <x v="0"/>
    <s v="Maharashtra"/>
    <s v="Priya"/>
    <x v="0"/>
    <x v="12"/>
    <n v="12"/>
    <n v="180"/>
    <n v="0.1"/>
    <n v="1944"/>
    <n v="1449.165601319693"/>
    <n v="494.83439868030678"/>
    <x v="1"/>
    <s v="Card"/>
  </r>
  <r>
    <s v="ORD0170"/>
    <x v="55"/>
    <x v="0"/>
    <s v="Gujarat"/>
    <s v="Rahul"/>
    <x v="3"/>
    <x v="13"/>
    <n v="3"/>
    <n v="3000"/>
    <n v="0.15"/>
    <n v="7650"/>
    <n v="6274.3734337889928"/>
    <n v="1375.626566211007"/>
    <x v="2"/>
    <s v="Cash"/>
  </r>
  <r>
    <s v="ORD0171"/>
    <x v="136"/>
    <x v="0"/>
    <s v="Goa"/>
    <s v="Sneha"/>
    <x v="2"/>
    <x v="5"/>
    <n v="3"/>
    <n v="6500"/>
    <n v="0"/>
    <n v="19500"/>
    <n v="12172.133468928179"/>
    <n v="7327.866531071817"/>
    <x v="2"/>
    <s v="Card"/>
  </r>
  <r>
    <s v="ORD0172"/>
    <x v="137"/>
    <x v="0"/>
    <s v="Gujarat"/>
    <s v="Rahul"/>
    <x v="2"/>
    <x v="5"/>
    <n v="3"/>
    <n v="6500"/>
    <n v="0.05"/>
    <n v="18525"/>
    <n v="13480.71082821227"/>
    <n v="5044.2891717877319"/>
    <x v="0"/>
    <s v="UPI"/>
  </r>
  <r>
    <s v="ORD0173"/>
    <x v="138"/>
    <x v="1"/>
    <s v="Telangana"/>
    <s v="Neha"/>
    <x v="0"/>
    <x v="2"/>
    <n v="14"/>
    <n v="120"/>
    <n v="0"/>
    <n v="1680"/>
    <n v="955.38451113079816"/>
    <n v="724.61548886920184"/>
    <x v="0"/>
    <s v="UPI"/>
  </r>
  <r>
    <s v="ORD0174"/>
    <x v="84"/>
    <x v="3"/>
    <s v="Bihar"/>
    <s v="Pooja"/>
    <x v="1"/>
    <x v="3"/>
    <n v="15"/>
    <n v="9000"/>
    <n v="0.15"/>
    <n v="114750"/>
    <n v="83244.304943689873"/>
    <n v="31505.695056310131"/>
    <x v="1"/>
    <s v="Bank Transfer"/>
  </r>
  <r>
    <s v="ORD0175"/>
    <x v="139"/>
    <x v="2"/>
    <s v="Rajasthan"/>
    <s v="Sneha"/>
    <x v="1"/>
    <x v="10"/>
    <n v="3"/>
    <n v="55000"/>
    <n v="0.1"/>
    <n v="148500"/>
    <n v="106522.84526882569"/>
    <n v="41977.154731174327"/>
    <x v="2"/>
    <s v="UPI"/>
  </r>
  <r>
    <s v="ORD0176"/>
    <x v="140"/>
    <x v="2"/>
    <s v="Uttar Pradesh"/>
    <s v="Priya"/>
    <x v="0"/>
    <x v="9"/>
    <n v="7"/>
    <n v="80"/>
    <n v="0"/>
    <n v="560"/>
    <n v="405.97365132961858"/>
    <n v="154.0263486703814"/>
    <x v="2"/>
    <s v="UPI"/>
  </r>
  <r>
    <s v="ORD0177"/>
    <x v="141"/>
    <x v="3"/>
    <s v="West Bengal"/>
    <s v="Rohan"/>
    <x v="0"/>
    <x v="12"/>
    <n v="4"/>
    <n v="180"/>
    <n v="0"/>
    <n v="720"/>
    <n v="412.03200966403062"/>
    <n v="307.96799033596938"/>
    <x v="0"/>
    <s v="Bank Transfer"/>
  </r>
  <r>
    <s v="ORD0178"/>
    <x v="140"/>
    <x v="1"/>
    <s v="Karnataka"/>
    <s v="Pooja"/>
    <x v="0"/>
    <x v="9"/>
    <n v="4"/>
    <n v="80"/>
    <n v="0"/>
    <n v="320"/>
    <n v="212.67234389560929"/>
    <n v="107.3276561043907"/>
    <x v="2"/>
    <s v="Card"/>
  </r>
  <r>
    <s v="ORD0179"/>
    <x v="95"/>
    <x v="3"/>
    <s v="West Bengal"/>
    <s v="Vikas"/>
    <x v="1"/>
    <x v="3"/>
    <n v="9"/>
    <n v="9000"/>
    <n v="0.1"/>
    <n v="72900"/>
    <n v="62559.371927192617"/>
    <n v="10340.62807280738"/>
    <x v="1"/>
    <s v="Cash"/>
  </r>
  <r>
    <s v="ORD0180"/>
    <x v="142"/>
    <x v="2"/>
    <s v="Rajasthan"/>
    <s v="Rahul"/>
    <x v="3"/>
    <x v="13"/>
    <n v="9"/>
    <n v="3000"/>
    <n v="0"/>
    <n v="27000"/>
    <n v="20110.940389093441"/>
    <n v="6889.0596109065627"/>
    <x v="2"/>
    <s v="Card"/>
  </r>
  <r>
    <s v="ORD0181"/>
    <x v="4"/>
    <x v="3"/>
    <s v="Odisha"/>
    <s v="Neha"/>
    <x v="1"/>
    <x v="3"/>
    <n v="1"/>
    <n v="9000"/>
    <n v="0.15"/>
    <n v="7650"/>
    <n v="6112.9609108935038"/>
    <n v="1537.039089106496"/>
    <x v="1"/>
    <s v="Bank Transfer"/>
  </r>
  <r>
    <s v="ORD0182"/>
    <x v="115"/>
    <x v="3"/>
    <s v="Bihar"/>
    <s v="Vikas"/>
    <x v="0"/>
    <x v="2"/>
    <n v="3"/>
    <n v="120"/>
    <n v="0"/>
    <n v="360"/>
    <n v="230.61522741392869"/>
    <n v="129.38477258607131"/>
    <x v="1"/>
    <s v="UPI"/>
  </r>
  <r>
    <s v="ORD0183"/>
    <x v="77"/>
    <x v="3"/>
    <s v="Bihar"/>
    <s v="Pooja"/>
    <x v="1"/>
    <x v="10"/>
    <n v="1"/>
    <n v="55000"/>
    <n v="0"/>
    <n v="55000"/>
    <n v="39276.936856008797"/>
    <n v="15723.063143991199"/>
    <x v="1"/>
    <s v="UPI"/>
  </r>
  <r>
    <s v="ORD0184"/>
    <x v="38"/>
    <x v="2"/>
    <s v="Uttar Pradesh"/>
    <s v="Vikas"/>
    <x v="0"/>
    <x v="0"/>
    <n v="7"/>
    <n v="250"/>
    <n v="0.15"/>
    <n v="1487.5"/>
    <n v="1260.0760426308759"/>
    <n v="227.42395736912431"/>
    <x v="0"/>
    <s v="Bank Transfer"/>
  </r>
  <r>
    <s v="ORD0185"/>
    <x v="83"/>
    <x v="2"/>
    <s v="Rajasthan"/>
    <s v="Neha"/>
    <x v="1"/>
    <x v="4"/>
    <n v="6"/>
    <n v="1800"/>
    <n v="0"/>
    <n v="10800"/>
    <n v="8374.0667094490382"/>
    <n v="2425.9332905509618"/>
    <x v="0"/>
    <s v="Cash"/>
  </r>
  <r>
    <s v="ORD0186"/>
    <x v="72"/>
    <x v="3"/>
    <s v="Odisha"/>
    <s v="Rohan"/>
    <x v="2"/>
    <x v="15"/>
    <n v="10"/>
    <n v="7000"/>
    <n v="0.1"/>
    <n v="63000"/>
    <n v="41245.244194121216"/>
    <n v="21754.75580587878"/>
    <x v="1"/>
    <s v="UPI"/>
  </r>
  <r>
    <s v="ORD0187"/>
    <x v="143"/>
    <x v="0"/>
    <s v="Goa"/>
    <s v="Rohan"/>
    <x v="1"/>
    <x v="1"/>
    <n v="1"/>
    <n v="12000"/>
    <n v="0.1"/>
    <n v="10800"/>
    <n v="7465.7912543105604"/>
    <n v="3334.2087456894401"/>
    <x v="0"/>
    <s v="UPI"/>
  </r>
  <r>
    <s v="ORD0188"/>
    <x v="1"/>
    <x v="3"/>
    <s v="Bihar"/>
    <s v="Vikas"/>
    <x v="3"/>
    <x v="11"/>
    <n v="12"/>
    <n v="900"/>
    <n v="0"/>
    <n v="10800"/>
    <n v="7228.4090975153213"/>
    <n v="3571.5909024846792"/>
    <x v="0"/>
    <s v="Bank Transfer"/>
  </r>
  <r>
    <s v="ORD0189"/>
    <x v="144"/>
    <x v="3"/>
    <s v="Odisha"/>
    <s v="Neha"/>
    <x v="2"/>
    <x v="14"/>
    <n v="15"/>
    <n v="8000"/>
    <n v="0.15"/>
    <n v="102000"/>
    <n v="75448.225688018952"/>
    <n v="26551.774311981051"/>
    <x v="0"/>
    <s v="Bank Transfer"/>
  </r>
  <r>
    <s v="ORD0190"/>
    <x v="145"/>
    <x v="1"/>
    <s v="Karnataka"/>
    <s v="Sneha"/>
    <x v="0"/>
    <x v="9"/>
    <n v="4"/>
    <n v="80"/>
    <n v="0.05"/>
    <n v="304"/>
    <n v="232.75842620485059"/>
    <n v="71.241573795149407"/>
    <x v="0"/>
    <s v="Bank Transfer"/>
  </r>
  <r>
    <s v="ORD0191"/>
    <x v="146"/>
    <x v="2"/>
    <s v="Rajasthan"/>
    <s v="Rohan"/>
    <x v="0"/>
    <x v="9"/>
    <n v="5"/>
    <n v="80"/>
    <n v="0"/>
    <n v="400"/>
    <n v="272.75986595637528"/>
    <n v="127.24013404362471"/>
    <x v="2"/>
    <s v="Card"/>
  </r>
  <r>
    <s v="ORD0192"/>
    <x v="147"/>
    <x v="1"/>
    <s v="Tamil Nadu"/>
    <s v="Neha"/>
    <x v="1"/>
    <x v="4"/>
    <n v="12"/>
    <n v="1800"/>
    <n v="0"/>
    <n v="21600"/>
    <n v="13600.73393802702"/>
    <n v="7999.2660619729759"/>
    <x v="0"/>
    <s v="Bank Transfer"/>
  </r>
  <r>
    <s v="ORD0193"/>
    <x v="148"/>
    <x v="1"/>
    <s v="Karnataka"/>
    <s v="Sneha"/>
    <x v="0"/>
    <x v="9"/>
    <n v="3"/>
    <n v="80"/>
    <n v="0"/>
    <n v="240"/>
    <n v="165.98537229967999"/>
    <n v="74.014627700320034"/>
    <x v="1"/>
    <s v="Cash"/>
  </r>
  <r>
    <s v="ORD0194"/>
    <x v="149"/>
    <x v="1"/>
    <s v="Telangana"/>
    <s v="Priya"/>
    <x v="2"/>
    <x v="15"/>
    <n v="2"/>
    <n v="7000"/>
    <n v="0.1"/>
    <n v="12600"/>
    <n v="8763.545467629232"/>
    <n v="3836.454532370768"/>
    <x v="0"/>
    <s v="UPI"/>
  </r>
  <r>
    <s v="ORD0195"/>
    <x v="126"/>
    <x v="0"/>
    <s v="Goa"/>
    <s v="Neha"/>
    <x v="2"/>
    <x v="14"/>
    <n v="11"/>
    <n v="8000"/>
    <n v="0.1"/>
    <n v="79200"/>
    <n v="58063.558053723747"/>
    <n v="21136.441946276249"/>
    <x v="2"/>
    <s v="Card"/>
  </r>
  <r>
    <s v="ORD0196"/>
    <x v="32"/>
    <x v="0"/>
    <s v="Maharashtra"/>
    <s v="Amit"/>
    <x v="2"/>
    <x v="15"/>
    <n v="15"/>
    <n v="7000"/>
    <n v="0"/>
    <n v="105000"/>
    <n v="67841.922321216887"/>
    <n v="37158.077678783113"/>
    <x v="2"/>
    <s v="Bank Transfer"/>
  </r>
  <r>
    <s v="ORD0197"/>
    <x v="150"/>
    <x v="1"/>
    <s v="Telangana"/>
    <s v="Vikas"/>
    <x v="0"/>
    <x v="2"/>
    <n v="1"/>
    <n v="120"/>
    <n v="0.05"/>
    <n v="114"/>
    <n v="81.675747575140079"/>
    <n v="32.324252424859921"/>
    <x v="2"/>
    <s v="Bank Transfer"/>
  </r>
  <r>
    <s v="ORD0198"/>
    <x v="151"/>
    <x v="3"/>
    <s v="West Bengal"/>
    <s v="Neha"/>
    <x v="3"/>
    <x v="13"/>
    <n v="4"/>
    <n v="3000"/>
    <n v="0"/>
    <n v="12000"/>
    <n v="7512.6881072557289"/>
    <n v="4487.3118927442711"/>
    <x v="0"/>
    <s v="UPI"/>
  </r>
  <r>
    <s v="ORD0199"/>
    <x v="152"/>
    <x v="0"/>
    <s v="Goa"/>
    <s v="Rohan"/>
    <x v="0"/>
    <x v="9"/>
    <n v="10"/>
    <n v="80"/>
    <n v="0"/>
    <n v="800"/>
    <n v="472.29106414627751"/>
    <n v="327.70893585372249"/>
    <x v="2"/>
    <s v="Card"/>
  </r>
  <r>
    <s v="ORD0200"/>
    <x v="131"/>
    <x v="0"/>
    <s v="Gujarat"/>
    <s v="Amit"/>
    <x v="1"/>
    <x v="1"/>
    <n v="3"/>
    <n v="12000"/>
    <n v="0.1"/>
    <n v="32400"/>
    <n v="22479.42182830449"/>
    <n v="9920.5781716955134"/>
    <x v="2"/>
    <s v="Bank Transfer"/>
  </r>
  <r>
    <s v="ORD0201"/>
    <x v="153"/>
    <x v="1"/>
    <s v="Tamil Nadu"/>
    <s v="Neha"/>
    <x v="0"/>
    <x v="9"/>
    <n v="5"/>
    <n v="80"/>
    <n v="0.15"/>
    <n v="340"/>
    <n v="286.50519261289179"/>
    <n v="53.49480738710821"/>
    <x v="0"/>
    <s v="Card"/>
  </r>
  <r>
    <s v="ORD0202"/>
    <x v="154"/>
    <x v="1"/>
    <s v="Karnataka"/>
    <s v="Neha"/>
    <x v="1"/>
    <x v="3"/>
    <n v="5"/>
    <n v="9000"/>
    <n v="0"/>
    <n v="45000"/>
    <n v="28946.061944222911"/>
    <n v="16053.938055777089"/>
    <x v="0"/>
    <s v="Cash"/>
  </r>
  <r>
    <s v="ORD0203"/>
    <x v="155"/>
    <x v="2"/>
    <s v="Rajasthan"/>
    <s v="Vikas"/>
    <x v="2"/>
    <x v="8"/>
    <n v="3"/>
    <n v="11000"/>
    <n v="0.1"/>
    <n v="29700"/>
    <n v="19312.678435990871"/>
    <n v="10387.321564009129"/>
    <x v="2"/>
    <s v="Bank Transfer"/>
  </r>
  <r>
    <s v="ORD0204"/>
    <x v="50"/>
    <x v="1"/>
    <s v="Karnataka"/>
    <s v="Priya"/>
    <x v="1"/>
    <x v="3"/>
    <n v="9"/>
    <n v="9000"/>
    <n v="0.05"/>
    <n v="76950"/>
    <n v="46005.053713606823"/>
    <n v="30944.94628639318"/>
    <x v="1"/>
    <s v="UPI"/>
  </r>
  <r>
    <s v="ORD0205"/>
    <x v="156"/>
    <x v="1"/>
    <s v="Karnataka"/>
    <s v="Priya"/>
    <x v="0"/>
    <x v="12"/>
    <n v="2"/>
    <n v="180"/>
    <n v="0"/>
    <n v="360"/>
    <n v="257.36080759975778"/>
    <n v="102.63919240024219"/>
    <x v="0"/>
    <s v="Bank Transfer"/>
  </r>
  <r>
    <s v="ORD0206"/>
    <x v="48"/>
    <x v="0"/>
    <s v="Gujarat"/>
    <s v="Neha"/>
    <x v="2"/>
    <x v="14"/>
    <n v="8"/>
    <n v="8000"/>
    <n v="0.15"/>
    <n v="54400"/>
    <n v="36049.885415326768"/>
    <n v="18350.114584673229"/>
    <x v="0"/>
    <s v="Cash"/>
  </r>
  <r>
    <s v="ORD0207"/>
    <x v="157"/>
    <x v="3"/>
    <s v="Odisha"/>
    <s v="Priya"/>
    <x v="1"/>
    <x v="1"/>
    <n v="10"/>
    <n v="12000"/>
    <n v="0"/>
    <n v="120000"/>
    <n v="67249.998555288083"/>
    <n v="52750.001444711917"/>
    <x v="0"/>
    <s v="Cash"/>
  </r>
  <r>
    <s v="ORD0208"/>
    <x v="138"/>
    <x v="0"/>
    <s v="Gujarat"/>
    <s v="Rohan"/>
    <x v="1"/>
    <x v="4"/>
    <n v="7"/>
    <n v="1800"/>
    <n v="0"/>
    <n v="12600"/>
    <n v="9158.4810373669334"/>
    <n v="3441.5189626330671"/>
    <x v="2"/>
    <s v="Bank Transfer"/>
  </r>
  <r>
    <s v="ORD0209"/>
    <x v="158"/>
    <x v="3"/>
    <s v="Odisha"/>
    <s v="Priya"/>
    <x v="3"/>
    <x v="11"/>
    <n v="11"/>
    <n v="900"/>
    <n v="0.15"/>
    <n v="8415"/>
    <n v="5747.8177890263287"/>
    <n v="2667.1822109736709"/>
    <x v="1"/>
    <s v="Bank Transfer"/>
  </r>
  <r>
    <s v="ORD0210"/>
    <x v="139"/>
    <x v="1"/>
    <s v="Telangana"/>
    <s v="Rohan"/>
    <x v="2"/>
    <x v="15"/>
    <n v="13"/>
    <n v="7000"/>
    <n v="0"/>
    <n v="91000"/>
    <n v="70529.809988474386"/>
    <n v="20470.19001152561"/>
    <x v="0"/>
    <s v="Bank Transfer"/>
  </r>
  <r>
    <s v="ORD0211"/>
    <x v="159"/>
    <x v="1"/>
    <s v="Karnataka"/>
    <s v="Amit"/>
    <x v="3"/>
    <x v="13"/>
    <n v="3"/>
    <n v="3000"/>
    <n v="0.05"/>
    <n v="8550"/>
    <n v="5340.1545340600569"/>
    <n v="3209.8454659399431"/>
    <x v="0"/>
    <s v="Bank Transfer"/>
  </r>
  <r>
    <s v="ORD0212"/>
    <x v="106"/>
    <x v="0"/>
    <s v="Maharashtra"/>
    <s v="Amit"/>
    <x v="2"/>
    <x v="15"/>
    <n v="2"/>
    <n v="7000"/>
    <n v="0.15"/>
    <n v="11900"/>
    <n v="7808.1156079287839"/>
    <n v="4091.8843920712161"/>
    <x v="1"/>
    <s v="Cash"/>
  </r>
  <r>
    <s v="ORD0213"/>
    <x v="141"/>
    <x v="3"/>
    <s v="Odisha"/>
    <s v="Sneha"/>
    <x v="2"/>
    <x v="8"/>
    <n v="13"/>
    <n v="11000"/>
    <n v="0"/>
    <n v="143000"/>
    <n v="83259.059065529218"/>
    <n v="59740.940934470782"/>
    <x v="0"/>
    <s v="Card"/>
  </r>
  <r>
    <s v="ORD0214"/>
    <x v="38"/>
    <x v="2"/>
    <s v="Delhi"/>
    <s v="Neha"/>
    <x v="0"/>
    <x v="0"/>
    <n v="11"/>
    <n v="250"/>
    <n v="0.15"/>
    <n v="2337.5"/>
    <n v="1652.309533332116"/>
    <n v="685.19046666788449"/>
    <x v="1"/>
    <s v="UPI"/>
  </r>
  <r>
    <s v="ORD0215"/>
    <x v="160"/>
    <x v="3"/>
    <s v="Bihar"/>
    <s v="Rohan"/>
    <x v="3"/>
    <x v="11"/>
    <n v="6"/>
    <n v="900"/>
    <n v="0.1"/>
    <n v="4860"/>
    <n v="3945.9693082078029"/>
    <n v="914.03069179219665"/>
    <x v="2"/>
    <s v="UPI"/>
  </r>
  <r>
    <s v="ORD0216"/>
    <x v="161"/>
    <x v="2"/>
    <s v="Rajasthan"/>
    <s v="Rahul"/>
    <x v="2"/>
    <x v="14"/>
    <n v="4"/>
    <n v="8000"/>
    <n v="0"/>
    <n v="32000"/>
    <n v="19813.420042332291"/>
    <n v="12186.579957667709"/>
    <x v="2"/>
    <s v="Cash"/>
  </r>
  <r>
    <s v="ORD0217"/>
    <x v="162"/>
    <x v="3"/>
    <s v="Odisha"/>
    <s v="Priya"/>
    <x v="2"/>
    <x v="14"/>
    <n v="4"/>
    <n v="8000"/>
    <n v="0.05"/>
    <n v="30400"/>
    <n v="19096.558355321999"/>
    <n v="11303.441644678"/>
    <x v="2"/>
    <s v="Card"/>
  </r>
  <r>
    <s v="ORD0218"/>
    <x v="128"/>
    <x v="0"/>
    <s v="Goa"/>
    <s v="Amit"/>
    <x v="2"/>
    <x v="15"/>
    <n v="5"/>
    <n v="7000"/>
    <n v="0.1"/>
    <n v="31500"/>
    <n v="24673.05896110836"/>
    <n v="6826.9410388916403"/>
    <x v="1"/>
    <s v="UPI"/>
  </r>
  <r>
    <s v="ORD0219"/>
    <x v="20"/>
    <x v="1"/>
    <s v="Tamil Nadu"/>
    <s v="Priya"/>
    <x v="2"/>
    <x v="5"/>
    <n v="5"/>
    <n v="6500"/>
    <n v="0"/>
    <n v="32500"/>
    <n v="19458.263096066341"/>
    <n v="13041.736903933661"/>
    <x v="0"/>
    <s v="Bank Transfer"/>
  </r>
  <r>
    <s v="ORD0220"/>
    <x v="163"/>
    <x v="1"/>
    <s v="Telangana"/>
    <s v="Rohan"/>
    <x v="2"/>
    <x v="14"/>
    <n v="15"/>
    <n v="8000"/>
    <n v="0"/>
    <n v="120000"/>
    <n v="81237.388474319683"/>
    <n v="38762.611525680317"/>
    <x v="2"/>
    <s v="Card"/>
  </r>
  <r>
    <s v="ORD0221"/>
    <x v="61"/>
    <x v="2"/>
    <s v="Rajasthan"/>
    <s v="Vikas"/>
    <x v="0"/>
    <x v="12"/>
    <n v="8"/>
    <n v="180"/>
    <n v="0"/>
    <n v="1440"/>
    <n v="1057.8928651467911"/>
    <n v="382.10713485320889"/>
    <x v="1"/>
    <s v="Card"/>
  </r>
  <r>
    <s v="ORD0222"/>
    <x v="57"/>
    <x v="2"/>
    <s v="Rajasthan"/>
    <s v="Rohan"/>
    <x v="1"/>
    <x v="1"/>
    <n v="12"/>
    <n v="12000"/>
    <n v="0"/>
    <n v="144000"/>
    <n v="79737.203121161758"/>
    <n v="64262.796878838242"/>
    <x v="2"/>
    <s v="UPI"/>
  </r>
  <r>
    <s v="ORD0223"/>
    <x v="164"/>
    <x v="1"/>
    <s v="Tamil Nadu"/>
    <s v="Vikas"/>
    <x v="2"/>
    <x v="14"/>
    <n v="10"/>
    <n v="8000"/>
    <n v="0"/>
    <n v="80000"/>
    <n v="53187.14727559554"/>
    <n v="26812.85272440446"/>
    <x v="2"/>
    <s v="Bank Transfer"/>
  </r>
  <r>
    <s v="ORD0224"/>
    <x v="156"/>
    <x v="3"/>
    <s v="Odisha"/>
    <s v="Rahul"/>
    <x v="2"/>
    <x v="5"/>
    <n v="3"/>
    <n v="6500"/>
    <n v="0"/>
    <n v="19500"/>
    <n v="13955.60618546799"/>
    <n v="5544.3938145320099"/>
    <x v="0"/>
    <s v="Cash"/>
  </r>
  <r>
    <s v="ORD0225"/>
    <x v="165"/>
    <x v="0"/>
    <s v="Maharashtra"/>
    <s v="Priya"/>
    <x v="1"/>
    <x v="10"/>
    <n v="7"/>
    <n v="55000"/>
    <n v="0"/>
    <n v="385000"/>
    <n v="286357.33467488462"/>
    <n v="98642.665325115377"/>
    <x v="0"/>
    <s v="UPI"/>
  </r>
  <r>
    <s v="ORD0226"/>
    <x v="166"/>
    <x v="0"/>
    <s v="Maharashtra"/>
    <s v="Pooja"/>
    <x v="3"/>
    <x v="13"/>
    <n v="1"/>
    <n v="3000"/>
    <n v="0.15"/>
    <n v="2550"/>
    <n v="2090.0327283148531"/>
    <n v="459.96727168514741"/>
    <x v="0"/>
    <s v="Bank Transfer"/>
  </r>
  <r>
    <s v="ORD0227"/>
    <x v="88"/>
    <x v="0"/>
    <s v="Maharashtra"/>
    <s v="Neha"/>
    <x v="3"/>
    <x v="11"/>
    <n v="1"/>
    <n v="900"/>
    <n v="0.15"/>
    <n v="765"/>
    <n v="644.49389337652428"/>
    <n v="120.5061066234757"/>
    <x v="1"/>
    <s v="Bank Transfer"/>
  </r>
  <r>
    <s v="ORD0228"/>
    <x v="167"/>
    <x v="1"/>
    <s v="Karnataka"/>
    <s v="Vikas"/>
    <x v="1"/>
    <x v="1"/>
    <n v="4"/>
    <n v="12000"/>
    <n v="0"/>
    <n v="48000"/>
    <n v="33242.380500227773"/>
    <n v="14757.61949977223"/>
    <x v="2"/>
    <s v="Bank Transfer"/>
  </r>
  <r>
    <s v="ORD0229"/>
    <x v="168"/>
    <x v="0"/>
    <s v="Gujarat"/>
    <s v="Neha"/>
    <x v="3"/>
    <x v="6"/>
    <n v="10"/>
    <n v="1200"/>
    <n v="0"/>
    <n v="12000"/>
    <n v="9333.043167325648"/>
    <n v="2666.956832674352"/>
    <x v="0"/>
    <s v="Cash"/>
  </r>
  <r>
    <s v="ORD0230"/>
    <x v="169"/>
    <x v="0"/>
    <s v="Maharashtra"/>
    <s v="Amit"/>
    <x v="3"/>
    <x v="6"/>
    <n v="7"/>
    <n v="1200"/>
    <n v="0.15"/>
    <n v="7140"/>
    <n v="5539.6418534548138"/>
    <n v="1600.3581465451859"/>
    <x v="0"/>
    <s v="UPI"/>
  </r>
  <r>
    <s v="ORD0231"/>
    <x v="108"/>
    <x v="0"/>
    <s v="Gujarat"/>
    <s v="Sneha"/>
    <x v="3"/>
    <x v="13"/>
    <n v="10"/>
    <n v="3000"/>
    <n v="0"/>
    <n v="30000"/>
    <n v="22674.059363784629"/>
    <n v="7325.9406362153713"/>
    <x v="1"/>
    <s v="Bank Transfer"/>
  </r>
  <r>
    <s v="ORD0232"/>
    <x v="170"/>
    <x v="2"/>
    <s v="Delhi"/>
    <s v="Rahul"/>
    <x v="1"/>
    <x v="4"/>
    <n v="15"/>
    <n v="1800"/>
    <n v="0.15"/>
    <n v="22950"/>
    <n v="18349.396255737978"/>
    <n v="4600.6037442620218"/>
    <x v="2"/>
    <s v="Cash"/>
  </r>
  <r>
    <s v="ORD0233"/>
    <x v="50"/>
    <x v="1"/>
    <s v="Telangana"/>
    <s v="Sneha"/>
    <x v="2"/>
    <x v="14"/>
    <n v="15"/>
    <n v="8000"/>
    <n v="0"/>
    <n v="120000"/>
    <n v="74260.042152431808"/>
    <n v="45739.957847568192"/>
    <x v="0"/>
    <s v="Bank Transfer"/>
  </r>
  <r>
    <s v="ORD0234"/>
    <x v="121"/>
    <x v="2"/>
    <s v="Rajasthan"/>
    <s v="Sneha"/>
    <x v="2"/>
    <x v="15"/>
    <n v="9"/>
    <n v="7000"/>
    <n v="0.05"/>
    <n v="59850"/>
    <n v="35428.061298917732"/>
    <n v="24421.938701082268"/>
    <x v="1"/>
    <s v="Card"/>
  </r>
  <r>
    <s v="ORD0235"/>
    <x v="171"/>
    <x v="3"/>
    <s v="Odisha"/>
    <s v="Rohan"/>
    <x v="1"/>
    <x v="4"/>
    <n v="13"/>
    <n v="1800"/>
    <n v="0.1"/>
    <n v="21060"/>
    <n v="15510.427800788289"/>
    <n v="5549.5721992117114"/>
    <x v="2"/>
    <s v="UPI"/>
  </r>
  <r>
    <s v="ORD0236"/>
    <x v="12"/>
    <x v="3"/>
    <s v="West Bengal"/>
    <s v="Rohan"/>
    <x v="0"/>
    <x v="0"/>
    <n v="12"/>
    <n v="250"/>
    <n v="0"/>
    <n v="3000"/>
    <n v="1706.606226674473"/>
    <n v="1293.393773325527"/>
    <x v="0"/>
    <s v="UPI"/>
  </r>
  <r>
    <s v="ORD0237"/>
    <x v="133"/>
    <x v="3"/>
    <s v="Odisha"/>
    <s v="Vikas"/>
    <x v="0"/>
    <x v="2"/>
    <n v="2"/>
    <n v="120"/>
    <n v="0"/>
    <n v="240"/>
    <n v="184.05140454930341"/>
    <n v="55.948595450696622"/>
    <x v="2"/>
    <s v="Cash"/>
  </r>
  <r>
    <s v="ORD0238"/>
    <x v="172"/>
    <x v="1"/>
    <s v="Karnataka"/>
    <s v="Priya"/>
    <x v="2"/>
    <x v="14"/>
    <n v="8"/>
    <n v="8000"/>
    <n v="0.15"/>
    <n v="54400"/>
    <n v="43365.772808962531"/>
    <n v="11034.227191037469"/>
    <x v="1"/>
    <s v="Cash"/>
  </r>
  <r>
    <s v="ORD0239"/>
    <x v="173"/>
    <x v="2"/>
    <s v="Uttar Pradesh"/>
    <s v="Rohan"/>
    <x v="1"/>
    <x v="4"/>
    <n v="14"/>
    <n v="1800"/>
    <n v="0.1"/>
    <n v="22680"/>
    <n v="13931.526203867401"/>
    <n v="8748.4737961325991"/>
    <x v="1"/>
    <s v="UPI"/>
  </r>
  <r>
    <s v="ORD0240"/>
    <x v="174"/>
    <x v="1"/>
    <s v="Telangana"/>
    <s v="Rahul"/>
    <x v="3"/>
    <x v="7"/>
    <n v="3"/>
    <n v="2200"/>
    <n v="0.05"/>
    <n v="6270"/>
    <n v="4087.117260839354"/>
    <n v="2182.882739160646"/>
    <x v="1"/>
    <s v="UPI"/>
  </r>
  <r>
    <s v="ORD0241"/>
    <x v="16"/>
    <x v="3"/>
    <s v="Odisha"/>
    <s v="Pooja"/>
    <x v="3"/>
    <x v="13"/>
    <n v="8"/>
    <n v="3000"/>
    <n v="0"/>
    <n v="24000"/>
    <n v="15193.409515838201"/>
    <n v="8806.590484161803"/>
    <x v="0"/>
    <s v="UPI"/>
  </r>
  <r>
    <s v="ORD0242"/>
    <x v="89"/>
    <x v="3"/>
    <s v="West Bengal"/>
    <s v="Rohan"/>
    <x v="2"/>
    <x v="5"/>
    <n v="1"/>
    <n v="6500"/>
    <n v="0.1"/>
    <n v="5850"/>
    <n v="4071.664736890883"/>
    <n v="1778.335263109117"/>
    <x v="2"/>
    <s v="Bank Transfer"/>
  </r>
  <r>
    <s v="ORD0243"/>
    <x v="126"/>
    <x v="2"/>
    <s v="Rajasthan"/>
    <s v="Pooja"/>
    <x v="2"/>
    <x v="5"/>
    <n v="6"/>
    <n v="6500"/>
    <n v="0.15"/>
    <n v="33150"/>
    <n v="29947.091930484559"/>
    <n v="3202.9080695154412"/>
    <x v="2"/>
    <s v="UPI"/>
  </r>
  <r>
    <s v="ORD0244"/>
    <x v="92"/>
    <x v="3"/>
    <s v="Odisha"/>
    <s v="Rohan"/>
    <x v="0"/>
    <x v="12"/>
    <n v="10"/>
    <n v="180"/>
    <n v="0"/>
    <n v="1800"/>
    <n v="1124.9169023013631"/>
    <n v="675.08309769863718"/>
    <x v="2"/>
    <s v="Cash"/>
  </r>
  <r>
    <s v="ORD0245"/>
    <x v="175"/>
    <x v="1"/>
    <s v="Telangana"/>
    <s v="Pooja"/>
    <x v="2"/>
    <x v="15"/>
    <n v="12"/>
    <n v="7000"/>
    <n v="0.1"/>
    <n v="75600"/>
    <n v="64418.275365871581"/>
    <n v="11181.724634128421"/>
    <x v="2"/>
    <s v="Cash"/>
  </r>
  <r>
    <s v="ORD0246"/>
    <x v="176"/>
    <x v="3"/>
    <s v="Bihar"/>
    <s v="Rahul"/>
    <x v="3"/>
    <x v="7"/>
    <n v="11"/>
    <n v="2200"/>
    <n v="0.05"/>
    <n v="22990"/>
    <n v="14657.089819255671"/>
    <n v="8332.9101807443312"/>
    <x v="0"/>
    <s v="Bank Transfer"/>
  </r>
  <r>
    <s v="ORD0247"/>
    <x v="177"/>
    <x v="3"/>
    <s v="West Bengal"/>
    <s v="Rohan"/>
    <x v="3"/>
    <x v="6"/>
    <n v="10"/>
    <n v="1200"/>
    <n v="0.1"/>
    <n v="10800"/>
    <n v="8074.8540273178442"/>
    <n v="2725.1459726821558"/>
    <x v="0"/>
    <s v="Cash"/>
  </r>
  <r>
    <s v="ORD0248"/>
    <x v="144"/>
    <x v="2"/>
    <s v="Uttar Pradesh"/>
    <s v="Rahul"/>
    <x v="1"/>
    <x v="10"/>
    <n v="13"/>
    <n v="55000"/>
    <n v="0"/>
    <n v="715000"/>
    <n v="501392.5904513069"/>
    <n v="213607.4095486931"/>
    <x v="0"/>
    <s v="Cash"/>
  </r>
  <r>
    <s v="ORD0249"/>
    <x v="36"/>
    <x v="3"/>
    <s v="Odisha"/>
    <s v="Sneha"/>
    <x v="3"/>
    <x v="11"/>
    <n v="1"/>
    <n v="900"/>
    <n v="0"/>
    <n v="900"/>
    <n v="548.55884267355668"/>
    <n v="351.44115732644332"/>
    <x v="2"/>
    <s v="Card"/>
  </r>
  <r>
    <s v="ORD0250"/>
    <x v="178"/>
    <x v="3"/>
    <s v="Odisha"/>
    <s v="Priya"/>
    <x v="2"/>
    <x v="5"/>
    <n v="1"/>
    <n v="6500"/>
    <n v="0.1"/>
    <n v="5850"/>
    <n v="3731.301290219063"/>
    <n v="2118.698709780937"/>
    <x v="1"/>
    <s v="UPI"/>
  </r>
  <r>
    <s v="ORD0251"/>
    <x v="158"/>
    <x v="2"/>
    <s v="Rajasthan"/>
    <s v="Pooja"/>
    <x v="0"/>
    <x v="12"/>
    <n v="13"/>
    <n v="180"/>
    <n v="0"/>
    <n v="2340"/>
    <n v="1567.4640013986141"/>
    <n v="772.53599860138615"/>
    <x v="1"/>
    <s v="Bank Transfer"/>
  </r>
  <r>
    <s v="ORD0252"/>
    <x v="29"/>
    <x v="3"/>
    <s v="Odisha"/>
    <s v="Priya"/>
    <x v="1"/>
    <x v="4"/>
    <n v="1"/>
    <n v="1800"/>
    <n v="0"/>
    <n v="1800"/>
    <n v="999.35023769408861"/>
    <n v="800.64976230591139"/>
    <x v="0"/>
    <s v="UPI"/>
  </r>
  <r>
    <s v="ORD0253"/>
    <x v="48"/>
    <x v="1"/>
    <s v="Telangana"/>
    <s v="Sneha"/>
    <x v="2"/>
    <x v="8"/>
    <n v="6"/>
    <n v="11000"/>
    <n v="0.15"/>
    <n v="56100"/>
    <n v="42772.287243377141"/>
    <n v="13327.712756622859"/>
    <x v="2"/>
    <s v="UPI"/>
  </r>
  <r>
    <s v="ORD0254"/>
    <x v="179"/>
    <x v="1"/>
    <s v="Telangana"/>
    <s v="Rohan"/>
    <x v="3"/>
    <x v="6"/>
    <n v="1"/>
    <n v="1200"/>
    <n v="0.15"/>
    <n v="1020"/>
    <n v="903.73487533972809"/>
    <n v="116.26512466027189"/>
    <x v="2"/>
    <s v="Cash"/>
  </r>
  <r>
    <s v="ORD0255"/>
    <x v="88"/>
    <x v="1"/>
    <s v="Karnataka"/>
    <s v="Rahul"/>
    <x v="0"/>
    <x v="2"/>
    <n v="10"/>
    <n v="120"/>
    <n v="0"/>
    <n v="1200"/>
    <n v="880.66265050073184"/>
    <n v="319.33734949926821"/>
    <x v="2"/>
    <s v="Card"/>
  </r>
  <r>
    <s v="ORD0256"/>
    <x v="152"/>
    <x v="1"/>
    <s v="Tamil Nadu"/>
    <s v="Vikas"/>
    <x v="1"/>
    <x v="4"/>
    <n v="11"/>
    <n v="1800"/>
    <n v="0.1"/>
    <n v="17820"/>
    <n v="13293.21419938492"/>
    <n v="4526.7858006150764"/>
    <x v="0"/>
    <s v="Bank Transfer"/>
  </r>
  <r>
    <s v="ORD0257"/>
    <x v="180"/>
    <x v="3"/>
    <s v="Bihar"/>
    <s v="Neha"/>
    <x v="1"/>
    <x v="4"/>
    <n v="6"/>
    <n v="1800"/>
    <n v="0.1"/>
    <n v="9720"/>
    <n v="7473.5288954716798"/>
    <n v="2246.4711045283202"/>
    <x v="0"/>
    <s v="Cash"/>
  </r>
  <r>
    <s v="ORD0258"/>
    <x v="81"/>
    <x v="1"/>
    <s v="Tamil Nadu"/>
    <s v="Rahul"/>
    <x v="1"/>
    <x v="1"/>
    <n v="5"/>
    <n v="12000"/>
    <n v="0"/>
    <n v="60000"/>
    <n v="35526.014352974467"/>
    <n v="24473.985647025529"/>
    <x v="0"/>
    <s v="Bank Transfer"/>
  </r>
  <r>
    <s v="ORD0259"/>
    <x v="181"/>
    <x v="3"/>
    <s v="Bihar"/>
    <s v="Rahul"/>
    <x v="2"/>
    <x v="14"/>
    <n v="7"/>
    <n v="8000"/>
    <n v="0"/>
    <n v="56000"/>
    <n v="37068.312378117902"/>
    <n v="18931.687621882102"/>
    <x v="0"/>
    <s v="UPI"/>
  </r>
  <r>
    <s v="ORD0260"/>
    <x v="182"/>
    <x v="3"/>
    <s v="Odisha"/>
    <s v="Amit"/>
    <x v="2"/>
    <x v="8"/>
    <n v="6"/>
    <n v="11000"/>
    <n v="0.1"/>
    <n v="59400"/>
    <n v="45702.64347801968"/>
    <n v="13697.35652198032"/>
    <x v="2"/>
    <s v="UPI"/>
  </r>
  <r>
    <s v="ORD0261"/>
    <x v="133"/>
    <x v="1"/>
    <s v="Tamil Nadu"/>
    <s v="Pooja"/>
    <x v="3"/>
    <x v="6"/>
    <n v="11"/>
    <n v="1200"/>
    <n v="0.1"/>
    <n v="11880"/>
    <n v="8521.8540014922055"/>
    <n v="3358.145998507795"/>
    <x v="1"/>
    <s v="Cash"/>
  </r>
  <r>
    <s v="ORD0262"/>
    <x v="183"/>
    <x v="0"/>
    <s v="Maharashtra"/>
    <s v="Pooja"/>
    <x v="0"/>
    <x v="2"/>
    <n v="5"/>
    <n v="120"/>
    <n v="0"/>
    <n v="600"/>
    <n v="404.18998931226508"/>
    <n v="195.81001068773489"/>
    <x v="0"/>
    <s v="Bank Transfer"/>
  </r>
  <r>
    <s v="ORD0263"/>
    <x v="184"/>
    <x v="0"/>
    <s v="Goa"/>
    <s v="Amit"/>
    <x v="1"/>
    <x v="4"/>
    <n v="13"/>
    <n v="1800"/>
    <n v="0.15"/>
    <n v="19890"/>
    <n v="17300.908072642909"/>
    <n v="2589.0919273570939"/>
    <x v="0"/>
    <s v="Bank Transfer"/>
  </r>
  <r>
    <s v="ORD0264"/>
    <x v="158"/>
    <x v="1"/>
    <s v="Tamil Nadu"/>
    <s v="Priya"/>
    <x v="1"/>
    <x v="1"/>
    <n v="5"/>
    <n v="12000"/>
    <n v="0"/>
    <n v="60000"/>
    <n v="39206.306331059714"/>
    <n v="20793.69366894029"/>
    <x v="2"/>
    <s v="Cash"/>
  </r>
  <r>
    <s v="ORD0265"/>
    <x v="185"/>
    <x v="1"/>
    <s v="Karnataka"/>
    <s v="Sneha"/>
    <x v="0"/>
    <x v="12"/>
    <n v="3"/>
    <n v="180"/>
    <n v="0.15"/>
    <n v="459"/>
    <n v="314.29298276810562"/>
    <n v="144.70701723189441"/>
    <x v="1"/>
    <s v="Card"/>
  </r>
  <r>
    <s v="ORD0266"/>
    <x v="186"/>
    <x v="2"/>
    <s v="Uttar Pradesh"/>
    <s v="Priya"/>
    <x v="2"/>
    <x v="5"/>
    <n v="12"/>
    <n v="6500"/>
    <n v="0.05"/>
    <n v="74100"/>
    <n v="48090.638387761093"/>
    <n v="26009.36161223891"/>
    <x v="1"/>
    <s v="Bank Transfer"/>
  </r>
  <r>
    <s v="ORD0267"/>
    <x v="16"/>
    <x v="0"/>
    <s v="Gujarat"/>
    <s v="Rohan"/>
    <x v="2"/>
    <x v="8"/>
    <n v="4"/>
    <n v="11000"/>
    <n v="0"/>
    <n v="44000"/>
    <n v="31399.315870252391"/>
    <n v="12600.684129747609"/>
    <x v="2"/>
    <s v="UPI"/>
  </r>
  <r>
    <s v="ORD0268"/>
    <x v="137"/>
    <x v="2"/>
    <s v="Uttar Pradesh"/>
    <s v="Rohan"/>
    <x v="3"/>
    <x v="6"/>
    <n v="8"/>
    <n v="1200"/>
    <n v="0"/>
    <n v="9600"/>
    <n v="6679.0501014774572"/>
    <n v="2920.9498985225432"/>
    <x v="0"/>
    <s v="Card"/>
  </r>
  <r>
    <s v="ORD0269"/>
    <x v="137"/>
    <x v="2"/>
    <s v="Rajasthan"/>
    <s v="Pooja"/>
    <x v="3"/>
    <x v="13"/>
    <n v="10"/>
    <n v="3000"/>
    <n v="0"/>
    <n v="30000"/>
    <n v="22495.463563811281"/>
    <n v="7504.536436188715"/>
    <x v="0"/>
    <s v="Card"/>
  </r>
  <r>
    <s v="ORD0270"/>
    <x v="70"/>
    <x v="0"/>
    <s v="Goa"/>
    <s v="Neha"/>
    <x v="3"/>
    <x v="7"/>
    <n v="7"/>
    <n v="2200"/>
    <n v="0"/>
    <n v="15400"/>
    <n v="10222.280344241541"/>
    <n v="5177.7196557584593"/>
    <x v="2"/>
    <s v="UPI"/>
  </r>
  <r>
    <s v="ORD0271"/>
    <x v="64"/>
    <x v="3"/>
    <s v="Odisha"/>
    <s v="Pooja"/>
    <x v="1"/>
    <x v="10"/>
    <n v="2"/>
    <n v="55000"/>
    <n v="0.1"/>
    <n v="99000"/>
    <n v="60911.91821503044"/>
    <n v="38088.08178496956"/>
    <x v="2"/>
    <s v="Cash"/>
  </r>
  <r>
    <s v="ORD0272"/>
    <x v="187"/>
    <x v="3"/>
    <s v="West Bengal"/>
    <s v="Neha"/>
    <x v="2"/>
    <x v="5"/>
    <n v="3"/>
    <n v="6500"/>
    <n v="0.05"/>
    <n v="18525"/>
    <n v="11143.62983059754"/>
    <n v="7381.3701694024567"/>
    <x v="1"/>
    <s v="Card"/>
  </r>
  <r>
    <s v="ORD0273"/>
    <x v="188"/>
    <x v="1"/>
    <s v="Karnataka"/>
    <s v="Priya"/>
    <x v="3"/>
    <x v="13"/>
    <n v="12"/>
    <n v="3000"/>
    <n v="0"/>
    <n v="36000"/>
    <n v="23354.032189454269"/>
    <n v="12645.96781054573"/>
    <x v="1"/>
    <s v="UPI"/>
  </r>
  <r>
    <s v="ORD0274"/>
    <x v="91"/>
    <x v="3"/>
    <s v="West Bengal"/>
    <s v="Vikas"/>
    <x v="2"/>
    <x v="8"/>
    <n v="9"/>
    <n v="11000"/>
    <n v="0.1"/>
    <n v="89100"/>
    <n v="54661.463797044627"/>
    <n v="34438.536202955373"/>
    <x v="1"/>
    <s v="Bank Transfer"/>
  </r>
  <r>
    <s v="ORD0275"/>
    <x v="189"/>
    <x v="1"/>
    <s v="Tamil Nadu"/>
    <s v="Priya"/>
    <x v="1"/>
    <x v="1"/>
    <n v="7"/>
    <n v="12000"/>
    <n v="0"/>
    <n v="84000"/>
    <n v="60318.348535679928"/>
    <n v="23681.651464320072"/>
    <x v="2"/>
    <s v="Card"/>
  </r>
  <r>
    <s v="ORD0276"/>
    <x v="50"/>
    <x v="2"/>
    <s v="Delhi"/>
    <s v="Amit"/>
    <x v="3"/>
    <x v="7"/>
    <n v="11"/>
    <n v="2200"/>
    <n v="0"/>
    <n v="24200"/>
    <n v="13690.779007470681"/>
    <n v="10509.220992529319"/>
    <x v="0"/>
    <s v="UPI"/>
  </r>
  <r>
    <s v="ORD0277"/>
    <x v="147"/>
    <x v="3"/>
    <s v="Odisha"/>
    <s v="Sneha"/>
    <x v="2"/>
    <x v="8"/>
    <n v="15"/>
    <n v="11000"/>
    <n v="0.1"/>
    <n v="148500"/>
    <n v="114130.0846781968"/>
    <n v="34369.915321803201"/>
    <x v="1"/>
    <s v="Cash"/>
  </r>
  <r>
    <s v="ORD0278"/>
    <x v="16"/>
    <x v="1"/>
    <s v="Karnataka"/>
    <s v="Neha"/>
    <x v="3"/>
    <x v="13"/>
    <n v="7"/>
    <n v="3000"/>
    <n v="0.05"/>
    <n v="19950"/>
    <n v="15370.90027358666"/>
    <n v="4579.0997264133402"/>
    <x v="0"/>
    <s v="Cash"/>
  </r>
  <r>
    <s v="ORD0279"/>
    <x v="155"/>
    <x v="1"/>
    <s v="Telangana"/>
    <s v="Sneha"/>
    <x v="0"/>
    <x v="2"/>
    <n v="14"/>
    <n v="120"/>
    <n v="0.05"/>
    <n v="1596"/>
    <n v="1003.384225494104"/>
    <n v="592.6157745058963"/>
    <x v="0"/>
    <s v="Bank Transfer"/>
  </r>
  <r>
    <s v="ORD0280"/>
    <x v="71"/>
    <x v="2"/>
    <s v="Uttar Pradesh"/>
    <s v="Priya"/>
    <x v="1"/>
    <x v="1"/>
    <n v="8"/>
    <n v="12000"/>
    <n v="0.1"/>
    <n v="86400"/>
    <n v="55289.3800702921"/>
    <n v="31110.6199297079"/>
    <x v="0"/>
    <s v="Cash"/>
  </r>
  <r>
    <s v="ORD0281"/>
    <x v="190"/>
    <x v="2"/>
    <s v="Rajasthan"/>
    <s v="Rahul"/>
    <x v="2"/>
    <x v="14"/>
    <n v="14"/>
    <n v="8000"/>
    <n v="0.15"/>
    <n v="95200"/>
    <n v="72441.444642342816"/>
    <n v="22758.55535765718"/>
    <x v="2"/>
    <s v="Cash"/>
  </r>
  <r>
    <s v="ORD0282"/>
    <x v="17"/>
    <x v="0"/>
    <s v="Goa"/>
    <s v="Rohan"/>
    <x v="1"/>
    <x v="10"/>
    <n v="5"/>
    <n v="55000"/>
    <n v="0"/>
    <n v="275000"/>
    <n v="153769.04901752729"/>
    <n v="121230.9509824727"/>
    <x v="0"/>
    <s v="Card"/>
  </r>
  <r>
    <s v="ORD0283"/>
    <x v="12"/>
    <x v="3"/>
    <s v="Odisha"/>
    <s v="Neha"/>
    <x v="3"/>
    <x v="11"/>
    <n v="11"/>
    <n v="900"/>
    <n v="0.15"/>
    <n v="8415"/>
    <n v="6669.2412504757885"/>
    <n v="1745.758749524211"/>
    <x v="1"/>
    <s v="Card"/>
  </r>
  <r>
    <s v="ORD0284"/>
    <x v="100"/>
    <x v="0"/>
    <s v="Goa"/>
    <s v="Priya"/>
    <x v="2"/>
    <x v="8"/>
    <n v="9"/>
    <n v="11000"/>
    <n v="0.05"/>
    <n v="94050"/>
    <n v="63346.956322589329"/>
    <n v="30703.043677410671"/>
    <x v="2"/>
    <s v="Bank Transfer"/>
  </r>
  <r>
    <s v="ORD0285"/>
    <x v="191"/>
    <x v="1"/>
    <s v="Karnataka"/>
    <s v="Amit"/>
    <x v="2"/>
    <x v="15"/>
    <n v="15"/>
    <n v="7000"/>
    <n v="0.1"/>
    <n v="94500"/>
    <n v="60551.075944296492"/>
    <n v="33948.924055703508"/>
    <x v="2"/>
    <s v="UPI"/>
  </r>
  <r>
    <s v="ORD0286"/>
    <x v="192"/>
    <x v="0"/>
    <s v="Maharashtra"/>
    <s v="Neha"/>
    <x v="2"/>
    <x v="15"/>
    <n v="3"/>
    <n v="7000"/>
    <n v="0.1"/>
    <n v="18900"/>
    <n v="16153.068254475191"/>
    <n v="2746.931745524811"/>
    <x v="1"/>
    <s v="Card"/>
  </r>
  <r>
    <s v="ORD0287"/>
    <x v="193"/>
    <x v="1"/>
    <s v="Telangana"/>
    <s v="Neha"/>
    <x v="0"/>
    <x v="2"/>
    <n v="13"/>
    <n v="120"/>
    <n v="0"/>
    <n v="1560"/>
    <n v="978.20195624225073"/>
    <n v="581.79804375774927"/>
    <x v="0"/>
    <s v="Cash"/>
  </r>
  <r>
    <s v="ORD0288"/>
    <x v="71"/>
    <x v="2"/>
    <s v="Uttar Pradesh"/>
    <s v="Rahul"/>
    <x v="1"/>
    <x v="3"/>
    <n v="8"/>
    <n v="9000"/>
    <n v="0.15"/>
    <n v="61200"/>
    <n v="45563.651709840233"/>
    <n v="15636.348290159771"/>
    <x v="2"/>
    <s v="UPI"/>
  </r>
  <r>
    <s v="ORD0289"/>
    <x v="53"/>
    <x v="2"/>
    <s v="Delhi"/>
    <s v="Sneha"/>
    <x v="1"/>
    <x v="1"/>
    <n v="12"/>
    <n v="12000"/>
    <n v="0.15"/>
    <n v="122400"/>
    <n v="79285.068919796773"/>
    <n v="43114.931080203227"/>
    <x v="1"/>
    <s v="Bank Transfer"/>
  </r>
  <r>
    <s v="ORD0290"/>
    <x v="164"/>
    <x v="2"/>
    <s v="Rajasthan"/>
    <s v="Rohan"/>
    <x v="2"/>
    <x v="8"/>
    <n v="15"/>
    <n v="11000"/>
    <n v="0"/>
    <n v="165000"/>
    <n v="111731.2187234181"/>
    <n v="53268.78127658194"/>
    <x v="1"/>
    <s v="Card"/>
  </r>
  <r>
    <s v="ORD0291"/>
    <x v="194"/>
    <x v="1"/>
    <s v="Tamil Nadu"/>
    <s v="Amit"/>
    <x v="0"/>
    <x v="9"/>
    <n v="14"/>
    <n v="80"/>
    <n v="0"/>
    <n v="1120"/>
    <n v="763.22766397025725"/>
    <n v="356.77233602974269"/>
    <x v="1"/>
    <s v="UPI"/>
  </r>
  <r>
    <s v="ORD0292"/>
    <x v="51"/>
    <x v="0"/>
    <s v="Gujarat"/>
    <s v="Vikas"/>
    <x v="1"/>
    <x v="3"/>
    <n v="14"/>
    <n v="9000"/>
    <n v="0.05"/>
    <n v="119700"/>
    <n v="91716.826356080564"/>
    <n v="27983.173643919439"/>
    <x v="1"/>
    <s v="Bank Transfer"/>
  </r>
  <r>
    <s v="ORD0293"/>
    <x v="74"/>
    <x v="0"/>
    <s v="Gujarat"/>
    <s v="Pooja"/>
    <x v="2"/>
    <x v="5"/>
    <n v="10"/>
    <n v="6500"/>
    <n v="0.05"/>
    <n v="61750"/>
    <n v="46806.661001664601"/>
    <n v="14943.338998335401"/>
    <x v="2"/>
    <s v="Bank Transfer"/>
  </r>
  <r>
    <s v="ORD0294"/>
    <x v="195"/>
    <x v="1"/>
    <s v="Telangana"/>
    <s v="Vikas"/>
    <x v="2"/>
    <x v="8"/>
    <n v="1"/>
    <n v="11000"/>
    <n v="0.1"/>
    <n v="9900"/>
    <n v="6110.492947619292"/>
    <n v="3789.507052380708"/>
    <x v="0"/>
    <s v="Cash"/>
  </r>
  <r>
    <s v="ORD0295"/>
    <x v="196"/>
    <x v="2"/>
    <s v="Delhi"/>
    <s v="Rohan"/>
    <x v="3"/>
    <x v="13"/>
    <n v="2"/>
    <n v="3000"/>
    <n v="0"/>
    <n v="6000"/>
    <n v="4031.1439949028172"/>
    <n v="1968.856005097183"/>
    <x v="2"/>
    <s v="Cash"/>
  </r>
  <r>
    <s v="ORD0296"/>
    <x v="197"/>
    <x v="1"/>
    <s v="Telangana"/>
    <s v="Rohan"/>
    <x v="0"/>
    <x v="2"/>
    <n v="1"/>
    <n v="120"/>
    <n v="0"/>
    <n v="120"/>
    <n v="90.765134225308287"/>
    <n v="29.234865774691709"/>
    <x v="0"/>
    <s v="Card"/>
  </r>
  <r>
    <s v="ORD0297"/>
    <x v="198"/>
    <x v="3"/>
    <s v="Bihar"/>
    <s v="Priya"/>
    <x v="1"/>
    <x v="10"/>
    <n v="9"/>
    <n v="55000"/>
    <n v="0"/>
    <n v="495000"/>
    <n v="344797.00517172198"/>
    <n v="150202.994828278"/>
    <x v="0"/>
    <s v="Cash"/>
  </r>
  <r>
    <s v="ORD0298"/>
    <x v="198"/>
    <x v="3"/>
    <s v="Bihar"/>
    <s v="Vikas"/>
    <x v="2"/>
    <x v="8"/>
    <n v="5"/>
    <n v="11000"/>
    <n v="0.05"/>
    <n v="52250"/>
    <n v="41014.058378226036"/>
    <n v="11235.94162177396"/>
    <x v="2"/>
    <s v="Bank Transfer"/>
  </r>
  <r>
    <s v="ORD0299"/>
    <x v="150"/>
    <x v="2"/>
    <s v="Delhi"/>
    <s v="Rahul"/>
    <x v="1"/>
    <x v="1"/>
    <n v="3"/>
    <n v="12000"/>
    <n v="0.15"/>
    <n v="30600"/>
    <n v="20702.295063188671"/>
    <n v="9897.7049368113294"/>
    <x v="2"/>
    <s v="Bank Transfer"/>
  </r>
  <r>
    <s v="ORD0300"/>
    <x v="139"/>
    <x v="2"/>
    <s v="Rajasthan"/>
    <s v="Neha"/>
    <x v="1"/>
    <x v="4"/>
    <n v="13"/>
    <n v="1800"/>
    <n v="0"/>
    <n v="23400"/>
    <n v="15302.217707971569"/>
    <n v="8097.7822920284252"/>
    <x v="1"/>
    <s v="Cash"/>
  </r>
  <r>
    <s v="ORD0301"/>
    <x v="134"/>
    <x v="1"/>
    <s v="Telangana"/>
    <s v="Sneha"/>
    <x v="0"/>
    <x v="2"/>
    <n v="4"/>
    <n v="120"/>
    <n v="0.05"/>
    <n v="456"/>
    <n v="280.37494722954858"/>
    <n v="175.62505277045139"/>
    <x v="2"/>
    <s v="Bank Transfer"/>
  </r>
  <r>
    <s v="ORD0302"/>
    <x v="47"/>
    <x v="0"/>
    <s v="Goa"/>
    <s v="Pooja"/>
    <x v="0"/>
    <x v="9"/>
    <n v="14"/>
    <n v="80"/>
    <n v="0"/>
    <n v="1120"/>
    <n v="624.00674724921646"/>
    <n v="495.99325275078348"/>
    <x v="0"/>
    <s v="UPI"/>
  </r>
  <r>
    <s v="ORD0303"/>
    <x v="199"/>
    <x v="0"/>
    <s v="Gujarat"/>
    <s v="Rahul"/>
    <x v="1"/>
    <x v="1"/>
    <n v="2"/>
    <n v="12000"/>
    <n v="0"/>
    <n v="24000"/>
    <n v="13540.41389840585"/>
    <n v="10459.58610159415"/>
    <x v="1"/>
    <s v="Bank Transfer"/>
  </r>
  <r>
    <s v="ORD0304"/>
    <x v="200"/>
    <x v="2"/>
    <s v="Uttar Pradesh"/>
    <s v="Sneha"/>
    <x v="1"/>
    <x v="4"/>
    <n v="15"/>
    <n v="1800"/>
    <n v="0"/>
    <n v="27000"/>
    <n v="14985.37913480679"/>
    <n v="12014.62086519321"/>
    <x v="0"/>
    <s v="Bank Transfer"/>
  </r>
  <r>
    <s v="ORD0305"/>
    <x v="201"/>
    <x v="1"/>
    <s v="Karnataka"/>
    <s v="Rohan"/>
    <x v="0"/>
    <x v="2"/>
    <n v="1"/>
    <n v="120"/>
    <n v="0.1"/>
    <n v="108"/>
    <n v="67.397600545261071"/>
    <n v="40.602399454738929"/>
    <x v="0"/>
    <s v="Bank Transfer"/>
  </r>
  <r>
    <s v="ORD0306"/>
    <x v="127"/>
    <x v="3"/>
    <s v="West Bengal"/>
    <s v="Neha"/>
    <x v="3"/>
    <x v="6"/>
    <n v="3"/>
    <n v="1200"/>
    <n v="0.05"/>
    <n v="3420"/>
    <n v="2157.7849357431819"/>
    <n v="1262.2150642568181"/>
    <x v="2"/>
    <s v="Bank Transfer"/>
  </r>
  <r>
    <s v="ORD0307"/>
    <x v="202"/>
    <x v="1"/>
    <s v="Karnataka"/>
    <s v="Amit"/>
    <x v="2"/>
    <x v="5"/>
    <n v="8"/>
    <n v="6500"/>
    <n v="0.1"/>
    <n v="46800"/>
    <n v="39158.031746940593"/>
    <n v="7641.9682530594146"/>
    <x v="1"/>
    <s v="Card"/>
  </r>
  <r>
    <s v="ORD0308"/>
    <x v="146"/>
    <x v="3"/>
    <s v="West Bengal"/>
    <s v="Amit"/>
    <x v="3"/>
    <x v="7"/>
    <n v="11"/>
    <n v="2200"/>
    <n v="0.15"/>
    <n v="20570"/>
    <n v="14696.75640509113"/>
    <n v="5873.2435949088704"/>
    <x v="2"/>
    <s v="Card"/>
  </r>
  <r>
    <s v="ORD0309"/>
    <x v="203"/>
    <x v="3"/>
    <s v="Bihar"/>
    <s v="Neha"/>
    <x v="3"/>
    <x v="13"/>
    <n v="15"/>
    <n v="3000"/>
    <n v="0.15"/>
    <n v="38250"/>
    <n v="29949.770194877728"/>
    <n v="8300.2298051222715"/>
    <x v="1"/>
    <s v="Cash"/>
  </r>
  <r>
    <s v="ORD0310"/>
    <x v="149"/>
    <x v="2"/>
    <s v="Uttar Pradesh"/>
    <s v="Vikas"/>
    <x v="2"/>
    <x v="15"/>
    <n v="15"/>
    <n v="7000"/>
    <n v="0.05"/>
    <n v="99750"/>
    <n v="59164.978211216563"/>
    <n v="40585.021788783437"/>
    <x v="0"/>
    <s v="UPI"/>
  </r>
  <r>
    <s v="ORD0311"/>
    <x v="204"/>
    <x v="1"/>
    <s v="Karnataka"/>
    <s v="Sneha"/>
    <x v="2"/>
    <x v="8"/>
    <n v="5"/>
    <n v="11000"/>
    <n v="0.15"/>
    <n v="46750"/>
    <n v="40576.0072943505"/>
    <n v="6173.9927056494998"/>
    <x v="0"/>
    <s v="Bank Transfer"/>
  </r>
  <r>
    <s v="ORD0312"/>
    <x v="205"/>
    <x v="2"/>
    <s v="Delhi"/>
    <s v="Vikas"/>
    <x v="2"/>
    <x v="8"/>
    <n v="10"/>
    <n v="11000"/>
    <n v="0.05"/>
    <n v="104500"/>
    <n v="80897.118701592524"/>
    <n v="23602.881298407479"/>
    <x v="0"/>
    <s v="Cash"/>
  </r>
  <r>
    <s v="ORD0313"/>
    <x v="125"/>
    <x v="2"/>
    <s v="Uttar Pradesh"/>
    <s v="Pooja"/>
    <x v="2"/>
    <x v="8"/>
    <n v="14"/>
    <n v="11000"/>
    <n v="0.1"/>
    <n v="138600"/>
    <n v="103902.0533858736"/>
    <n v="34697.946614126413"/>
    <x v="1"/>
    <s v="Cash"/>
  </r>
  <r>
    <s v="ORD0314"/>
    <x v="98"/>
    <x v="0"/>
    <s v="Maharashtra"/>
    <s v="Sneha"/>
    <x v="2"/>
    <x v="15"/>
    <n v="9"/>
    <n v="7000"/>
    <n v="0.1"/>
    <n v="56700"/>
    <n v="34659.903862601714"/>
    <n v="22040.09613739829"/>
    <x v="1"/>
    <s v="Card"/>
  </r>
  <r>
    <s v="ORD0315"/>
    <x v="206"/>
    <x v="1"/>
    <s v="Tamil Nadu"/>
    <s v="Priya"/>
    <x v="1"/>
    <x v="10"/>
    <n v="3"/>
    <n v="55000"/>
    <n v="0.15"/>
    <n v="140250"/>
    <n v="117493.2261687417"/>
    <n v="22756.773831258281"/>
    <x v="0"/>
    <s v="Card"/>
  </r>
  <r>
    <s v="ORD0316"/>
    <x v="64"/>
    <x v="0"/>
    <s v="Gujarat"/>
    <s v="Rohan"/>
    <x v="3"/>
    <x v="11"/>
    <n v="6"/>
    <n v="900"/>
    <n v="0.05"/>
    <n v="5130"/>
    <n v="3370.6731798311539"/>
    <n v="1759.3268201688461"/>
    <x v="0"/>
    <s v="Bank Transfer"/>
  </r>
  <r>
    <s v="ORD0317"/>
    <x v="207"/>
    <x v="2"/>
    <s v="Delhi"/>
    <s v="Neha"/>
    <x v="0"/>
    <x v="0"/>
    <n v="11"/>
    <n v="250"/>
    <n v="0.15"/>
    <n v="2337.5"/>
    <n v="2027.6423045501849"/>
    <n v="309.85769544981491"/>
    <x v="0"/>
    <s v="Card"/>
  </r>
  <r>
    <s v="ORD0318"/>
    <x v="128"/>
    <x v="1"/>
    <s v="Karnataka"/>
    <s v="Vikas"/>
    <x v="1"/>
    <x v="3"/>
    <n v="14"/>
    <n v="9000"/>
    <n v="0.15"/>
    <n v="107100"/>
    <n v="70238.45189002699"/>
    <n v="36861.54810997301"/>
    <x v="0"/>
    <s v="UPI"/>
  </r>
  <r>
    <s v="ORD0319"/>
    <x v="160"/>
    <x v="0"/>
    <s v="Gujarat"/>
    <s v="Rahul"/>
    <x v="2"/>
    <x v="5"/>
    <n v="12"/>
    <n v="6500"/>
    <n v="0"/>
    <n v="78000"/>
    <n v="47169.646897180181"/>
    <n v="30830.353102819819"/>
    <x v="0"/>
    <s v="Cash"/>
  </r>
  <r>
    <s v="ORD0320"/>
    <x v="208"/>
    <x v="2"/>
    <s v="Rajasthan"/>
    <s v="Neha"/>
    <x v="1"/>
    <x v="4"/>
    <n v="4"/>
    <n v="1800"/>
    <n v="0"/>
    <n v="7200"/>
    <n v="5107.899582388015"/>
    <n v="2092.100417611985"/>
    <x v="1"/>
    <s v="Cash"/>
  </r>
  <r>
    <s v="ORD0321"/>
    <x v="207"/>
    <x v="0"/>
    <s v="Gujarat"/>
    <s v="Vikas"/>
    <x v="3"/>
    <x v="6"/>
    <n v="3"/>
    <n v="1200"/>
    <n v="0.1"/>
    <n v="3240"/>
    <n v="2388.2718905963461"/>
    <n v="851.72810940365389"/>
    <x v="0"/>
    <s v="Bank Transfer"/>
  </r>
  <r>
    <s v="ORD0322"/>
    <x v="209"/>
    <x v="0"/>
    <s v="Gujarat"/>
    <s v="Neha"/>
    <x v="2"/>
    <x v="8"/>
    <n v="8"/>
    <n v="11000"/>
    <n v="0"/>
    <n v="88000"/>
    <n v="64575.698010908309"/>
    <n v="23424.301989091691"/>
    <x v="1"/>
    <s v="Card"/>
  </r>
  <r>
    <s v="ORD0323"/>
    <x v="210"/>
    <x v="2"/>
    <s v="Delhi"/>
    <s v="Priya"/>
    <x v="1"/>
    <x v="4"/>
    <n v="3"/>
    <n v="1800"/>
    <n v="0.1"/>
    <n v="4860"/>
    <n v="3169.843382679861"/>
    <n v="1690.156617320139"/>
    <x v="2"/>
    <s v="Bank Transfer"/>
  </r>
  <r>
    <s v="ORD0324"/>
    <x v="185"/>
    <x v="0"/>
    <s v="Gujarat"/>
    <s v="Sneha"/>
    <x v="2"/>
    <x v="14"/>
    <n v="3"/>
    <n v="8000"/>
    <n v="0"/>
    <n v="24000"/>
    <n v="13758.943116572809"/>
    <n v="10241.056883427191"/>
    <x v="2"/>
    <s v="Card"/>
  </r>
  <r>
    <s v="ORD0325"/>
    <x v="211"/>
    <x v="2"/>
    <s v="Rajasthan"/>
    <s v="Rahul"/>
    <x v="2"/>
    <x v="15"/>
    <n v="1"/>
    <n v="7000"/>
    <n v="0.1"/>
    <n v="6300"/>
    <n v="4770.5493906509646"/>
    <n v="1529.4506093490349"/>
    <x v="1"/>
    <s v="Card"/>
  </r>
  <r>
    <s v="ORD0326"/>
    <x v="102"/>
    <x v="0"/>
    <s v="Gujarat"/>
    <s v="Amit"/>
    <x v="1"/>
    <x v="4"/>
    <n v="14"/>
    <n v="1800"/>
    <n v="0.15"/>
    <n v="21420"/>
    <n v="16643.983391622569"/>
    <n v="4776.0166083774311"/>
    <x v="1"/>
    <s v="UPI"/>
  </r>
  <r>
    <s v="ORD0327"/>
    <x v="212"/>
    <x v="2"/>
    <s v="Delhi"/>
    <s v="Neha"/>
    <x v="3"/>
    <x v="11"/>
    <n v="5"/>
    <n v="900"/>
    <n v="0.1"/>
    <n v="4050"/>
    <n v="2962.4275088028248"/>
    <n v="1087.5724911971749"/>
    <x v="1"/>
    <s v="Bank Transfer"/>
  </r>
  <r>
    <s v="ORD0328"/>
    <x v="78"/>
    <x v="1"/>
    <s v="Tamil Nadu"/>
    <s v="Pooja"/>
    <x v="3"/>
    <x v="13"/>
    <n v="3"/>
    <n v="3000"/>
    <n v="0.1"/>
    <n v="8100"/>
    <n v="5042.3570341246023"/>
    <n v="3057.6429658753982"/>
    <x v="2"/>
    <s v="UPI"/>
  </r>
  <r>
    <s v="ORD0329"/>
    <x v="157"/>
    <x v="2"/>
    <s v="Uttar Pradesh"/>
    <s v="Rohan"/>
    <x v="1"/>
    <x v="1"/>
    <n v="13"/>
    <n v="12000"/>
    <n v="0"/>
    <n v="156000"/>
    <n v="88875.178348816233"/>
    <n v="67124.821651183767"/>
    <x v="0"/>
    <s v="UPI"/>
  </r>
  <r>
    <s v="ORD0330"/>
    <x v="213"/>
    <x v="0"/>
    <s v="Gujarat"/>
    <s v="Rohan"/>
    <x v="3"/>
    <x v="6"/>
    <n v="10"/>
    <n v="1200"/>
    <n v="0"/>
    <n v="12000"/>
    <n v="7914.4838957848533"/>
    <n v="4085.5161042151472"/>
    <x v="0"/>
    <s v="Cash"/>
  </r>
  <r>
    <s v="ORD0331"/>
    <x v="60"/>
    <x v="1"/>
    <s v="Karnataka"/>
    <s v="Amit"/>
    <x v="3"/>
    <x v="7"/>
    <n v="3"/>
    <n v="2200"/>
    <n v="0"/>
    <n v="6600"/>
    <n v="4857.2433749627926"/>
    <n v="1742.756625037207"/>
    <x v="2"/>
    <s v="Cash"/>
  </r>
  <r>
    <s v="ORD0332"/>
    <x v="23"/>
    <x v="3"/>
    <s v="West Bengal"/>
    <s v="Rohan"/>
    <x v="2"/>
    <x v="5"/>
    <n v="6"/>
    <n v="6500"/>
    <n v="0"/>
    <n v="39000"/>
    <n v="22230.636144662269"/>
    <n v="16769.363855337731"/>
    <x v="0"/>
    <s v="Card"/>
  </r>
  <r>
    <s v="ORD0333"/>
    <x v="46"/>
    <x v="2"/>
    <s v="Uttar Pradesh"/>
    <s v="Priya"/>
    <x v="3"/>
    <x v="11"/>
    <n v="13"/>
    <n v="900"/>
    <n v="0.15"/>
    <n v="9945"/>
    <n v="8016.1672520877"/>
    <n v="1928.8327479123"/>
    <x v="2"/>
    <s v="UPI"/>
  </r>
  <r>
    <s v="ORD0334"/>
    <x v="88"/>
    <x v="1"/>
    <s v="Telangana"/>
    <s v="Vikas"/>
    <x v="1"/>
    <x v="10"/>
    <n v="10"/>
    <n v="55000"/>
    <n v="0"/>
    <n v="550000"/>
    <n v="401896.82223417418"/>
    <n v="148103.17776582579"/>
    <x v="2"/>
    <s v="Card"/>
  </r>
  <r>
    <s v="ORD0335"/>
    <x v="214"/>
    <x v="3"/>
    <s v="Bihar"/>
    <s v="Rohan"/>
    <x v="3"/>
    <x v="6"/>
    <n v="1"/>
    <n v="1200"/>
    <n v="0"/>
    <n v="1200"/>
    <n v="736.01430320159216"/>
    <n v="463.98569679840779"/>
    <x v="1"/>
    <s v="Bank Transfer"/>
  </r>
  <r>
    <s v="ORD0336"/>
    <x v="215"/>
    <x v="2"/>
    <s v="Uttar Pradesh"/>
    <s v="Amit"/>
    <x v="2"/>
    <x v="15"/>
    <n v="12"/>
    <n v="7000"/>
    <n v="0.1"/>
    <n v="75600"/>
    <n v="63990.531869747108"/>
    <n v="11609.46813025289"/>
    <x v="2"/>
    <s v="Card"/>
  </r>
  <r>
    <s v="ORD0337"/>
    <x v="147"/>
    <x v="2"/>
    <s v="Rajasthan"/>
    <s v="Vikas"/>
    <x v="3"/>
    <x v="11"/>
    <n v="14"/>
    <n v="900"/>
    <n v="0"/>
    <n v="12600"/>
    <n v="7319.4492397665408"/>
    <n v="5280.5507602334592"/>
    <x v="2"/>
    <s v="Bank Transfer"/>
  </r>
  <r>
    <s v="ORD0338"/>
    <x v="216"/>
    <x v="0"/>
    <s v="Maharashtra"/>
    <s v="Vikas"/>
    <x v="3"/>
    <x v="7"/>
    <n v="15"/>
    <n v="2200"/>
    <n v="0.1"/>
    <n v="29700"/>
    <n v="23773.771023802859"/>
    <n v="5926.2289761971406"/>
    <x v="1"/>
    <s v="UPI"/>
  </r>
  <r>
    <s v="ORD0339"/>
    <x v="217"/>
    <x v="0"/>
    <s v="Gujarat"/>
    <s v="Rahul"/>
    <x v="3"/>
    <x v="7"/>
    <n v="13"/>
    <n v="2200"/>
    <n v="0.15"/>
    <n v="24310"/>
    <n v="21514.24978596513"/>
    <n v="2795.7502140348661"/>
    <x v="1"/>
    <s v="UPI"/>
  </r>
  <r>
    <s v="ORD0340"/>
    <x v="218"/>
    <x v="0"/>
    <s v="Maharashtra"/>
    <s v="Vikas"/>
    <x v="1"/>
    <x v="3"/>
    <n v="1"/>
    <n v="9000"/>
    <n v="0.05"/>
    <n v="8550"/>
    <n v="6408.5922666054757"/>
    <n v="2141.4077333945238"/>
    <x v="2"/>
    <s v="Bank Transfer"/>
  </r>
  <r>
    <s v="ORD0341"/>
    <x v="32"/>
    <x v="0"/>
    <s v="Goa"/>
    <s v="Pooja"/>
    <x v="1"/>
    <x v="1"/>
    <n v="6"/>
    <n v="12000"/>
    <n v="0.1"/>
    <n v="64800"/>
    <n v="49437.361907567632"/>
    <n v="15362.638092432369"/>
    <x v="0"/>
    <s v="Card"/>
  </r>
  <r>
    <s v="ORD0342"/>
    <x v="219"/>
    <x v="2"/>
    <s v="Delhi"/>
    <s v="Sneha"/>
    <x v="0"/>
    <x v="2"/>
    <n v="5"/>
    <n v="120"/>
    <n v="0"/>
    <n v="600"/>
    <n v="383.3460625622559"/>
    <n v="216.6539374377441"/>
    <x v="1"/>
    <s v="UPI"/>
  </r>
  <r>
    <s v="ORD0343"/>
    <x v="18"/>
    <x v="1"/>
    <s v="Tamil Nadu"/>
    <s v="Rahul"/>
    <x v="3"/>
    <x v="11"/>
    <n v="14"/>
    <n v="900"/>
    <n v="0"/>
    <n v="12600"/>
    <n v="8303.9337045220418"/>
    <n v="4296.0662954779582"/>
    <x v="0"/>
    <s v="Cash"/>
  </r>
  <r>
    <s v="ORD0344"/>
    <x v="220"/>
    <x v="1"/>
    <s v="Tamil Nadu"/>
    <s v="Neha"/>
    <x v="0"/>
    <x v="9"/>
    <n v="7"/>
    <n v="80"/>
    <n v="0.1"/>
    <n v="504"/>
    <n v="417.68429909433229"/>
    <n v="86.315700905667654"/>
    <x v="1"/>
    <s v="Bank Transfer"/>
  </r>
  <r>
    <s v="ORD0345"/>
    <x v="221"/>
    <x v="2"/>
    <s v="Uttar Pradesh"/>
    <s v="Neha"/>
    <x v="3"/>
    <x v="11"/>
    <n v="1"/>
    <n v="900"/>
    <n v="0.15"/>
    <n v="765"/>
    <n v="701.88188163271229"/>
    <n v="63.118118367287707"/>
    <x v="2"/>
    <s v="Cash"/>
  </r>
  <r>
    <s v="ORD0346"/>
    <x v="35"/>
    <x v="3"/>
    <s v="West Bengal"/>
    <s v="Neha"/>
    <x v="0"/>
    <x v="9"/>
    <n v="11"/>
    <n v="80"/>
    <n v="0.05"/>
    <n v="836"/>
    <n v="658.36589989097058"/>
    <n v="177.63410010902939"/>
    <x v="1"/>
    <s v="UPI"/>
  </r>
  <r>
    <s v="ORD0347"/>
    <x v="164"/>
    <x v="1"/>
    <s v="Karnataka"/>
    <s v="Pooja"/>
    <x v="3"/>
    <x v="13"/>
    <n v="11"/>
    <n v="3000"/>
    <n v="0"/>
    <n v="33000"/>
    <n v="23624.539469727919"/>
    <n v="9375.4605302720847"/>
    <x v="2"/>
    <s v="Card"/>
  </r>
  <r>
    <s v="ORD0348"/>
    <x v="29"/>
    <x v="3"/>
    <s v="Odisha"/>
    <s v="Sneha"/>
    <x v="3"/>
    <x v="11"/>
    <n v="10"/>
    <n v="900"/>
    <n v="0.15"/>
    <n v="7650"/>
    <n v="6639.150431179437"/>
    <n v="1010.849568820563"/>
    <x v="0"/>
    <s v="Bank Transfer"/>
  </r>
  <r>
    <s v="ORD0349"/>
    <x v="102"/>
    <x v="2"/>
    <s v="Uttar Pradesh"/>
    <s v="Pooja"/>
    <x v="0"/>
    <x v="0"/>
    <n v="14"/>
    <n v="250"/>
    <n v="0.15"/>
    <n v="2975"/>
    <n v="2070.814365532221"/>
    <n v="904.18563446777944"/>
    <x v="1"/>
    <s v="Card"/>
  </r>
  <r>
    <s v="ORD0350"/>
    <x v="13"/>
    <x v="1"/>
    <s v="Telangana"/>
    <s v="Rohan"/>
    <x v="0"/>
    <x v="2"/>
    <n v="4"/>
    <n v="120"/>
    <n v="0.05"/>
    <n v="456"/>
    <n v="288.6554029625712"/>
    <n v="167.3445970374288"/>
    <x v="2"/>
    <s v="Card"/>
  </r>
  <r>
    <s v="ORD0351"/>
    <x v="100"/>
    <x v="2"/>
    <s v="Uttar Pradesh"/>
    <s v="Priya"/>
    <x v="0"/>
    <x v="12"/>
    <n v="14"/>
    <n v="180"/>
    <n v="0"/>
    <n v="2520"/>
    <n v="1658.7229946219261"/>
    <n v="861.27700537807368"/>
    <x v="2"/>
    <s v="UPI"/>
  </r>
  <r>
    <s v="ORD0352"/>
    <x v="143"/>
    <x v="0"/>
    <s v="Goa"/>
    <s v="Rahul"/>
    <x v="3"/>
    <x v="13"/>
    <n v="7"/>
    <n v="3000"/>
    <n v="0"/>
    <n v="21000"/>
    <n v="15756.20137688501"/>
    <n v="5243.798623114988"/>
    <x v="1"/>
    <s v="Card"/>
  </r>
  <r>
    <s v="ORD0353"/>
    <x v="222"/>
    <x v="3"/>
    <s v="Bihar"/>
    <s v="Vikas"/>
    <x v="3"/>
    <x v="7"/>
    <n v="6"/>
    <n v="2200"/>
    <n v="0"/>
    <n v="13200"/>
    <n v="9624.8654146890622"/>
    <n v="3575.1345853109378"/>
    <x v="0"/>
    <s v="UPI"/>
  </r>
  <r>
    <s v="ORD0354"/>
    <x v="183"/>
    <x v="2"/>
    <s v="Uttar Pradesh"/>
    <s v="Rahul"/>
    <x v="1"/>
    <x v="10"/>
    <n v="8"/>
    <n v="55000"/>
    <n v="0.05"/>
    <n v="418000"/>
    <n v="263189.49567550991"/>
    <n v="154810.50432449009"/>
    <x v="2"/>
    <s v="Cash"/>
  </r>
  <r>
    <s v="ORD0355"/>
    <x v="223"/>
    <x v="1"/>
    <s v="Telangana"/>
    <s v="Amit"/>
    <x v="3"/>
    <x v="6"/>
    <n v="7"/>
    <n v="1200"/>
    <n v="0.1"/>
    <n v="7560"/>
    <n v="6485.0133871312246"/>
    <n v="1074.986612868775"/>
    <x v="1"/>
    <s v="UPI"/>
  </r>
  <r>
    <s v="ORD0356"/>
    <x v="131"/>
    <x v="2"/>
    <s v="Delhi"/>
    <s v="Sneha"/>
    <x v="0"/>
    <x v="0"/>
    <n v="1"/>
    <n v="250"/>
    <n v="0"/>
    <n v="250"/>
    <n v="173.5344983986183"/>
    <n v="76.465501601381675"/>
    <x v="0"/>
    <s v="Card"/>
  </r>
  <r>
    <s v="ORD0357"/>
    <x v="200"/>
    <x v="2"/>
    <s v="Delhi"/>
    <s v="Amit"/>
    <x v="1"/>
    <x v="3"/>
    <n v="9"/>
    <n v="9000"/>
    <n v="0.15"/>
    <n v="68850"/>
    <n v="50252.924165663033"/>
    <n v="18597.075834336971"/>
    <x v="2"/>
    <s v="Card"/>
  </r>
  <r>
    <s v="ORD0358"/>
    <x v="156"/>
    <x v="3"/>
    <s v="Bihar"/>
    <s v="Vikas"/>
    <x v="0"/>
    <x v="12"/>
    <n v="15"/>
    <n v="180"/>
    <n v="0"/>
    <n v="2700"/>
    <n v="1697.837093178945"/>
    <n v="1002.162906821055"/>
    <x v="1"/>
    <s v="UPI"/>
  </r>
  <r>
    <s v="ORD0359"/>
    <x v="224"/>
    <x v="3"/>
    <s v="West Bengal"/>
    <s v="Rahul"/>
    <x v="2"/>
    <x v="8"/>
    <n v="12"/>
    <n v="11000"/>
    <n v="0"/>
    <n v="132000"/>
    <n v="79011.735357393074"/>
    <n v="52988.264642606933"/>
    <x v="1"/>
    <s v="Card"/>
  </r>
  <r>
    <s v="ORD0360"/>
    <x v="225"/>
    <x v="0"/>
    <s v="Gujarat"/>
    <s v="Amit"/>
    <x v="0"/>
    <x v="2"/>
    <n v="10"/>
    <n v="120"/>
    <n v="0"/>
    <n v="1200"/>
    <n v="842.70369677125905"/>
    <n v="357.29630322874101"/>
    <x v="1"/>
    <s v="Cash"/>
  </r>
  <r>
    <s v="ORD0361"/>
    <x v="12"/>
    <x v="3"/>
    <s v="Odisha"/>
    <s v="Sneha"/>
    <x v="3"/>
    <x v="11"/>
    <n v="9"/>
    <n v="900"/>
    <n v="0.05"/>
    <n v="7695"/>
    <n v="5338.8003783045742"/>
    <n v="2356.1996216954258"/>
    <x v="0"/>
    <s v="Cash"/>
  </r>
  <r>
    <s v="ORD0362"/>
    <x v="46"/>
    <x v="2"/>
    <s v="Rajasthan"/>
    <s v="Priya"/>
    <x v="1"/>
    <x v="4"/>
    <n v="10"/>
    <n v="1800"/>
    <n v="0.15"/>
    <n v="15300"/>
    <n v="12801.00707328213"/>
    <n v="2498.9929267178691"/>
    <x v="0"/>
    <s v="Cash"/>
  </r>
  <r>
    <s v="ORD0363"/>
    <x v="226"/>
    <x v="2"/>
    <s v="Delhi"/>
    <s v="Sneha"/>
    <x v="1"/>
    <x v="3"/>
    <n v="4"/>
    <n v="9000"/>
    <n v="0.15"/>
    <n v="30600"/>
    <n v="21453.92491729185"/>
    <n v="9146.0750827081501"/>
    <x v="2"/>
    <s v="Bank Transfer"/>
  </r>
  <r>
    <s v="ORD0364"/>
    <x v="227"/>
    <x v="2"/>
    <s v="Delhi"/>
    <s v="Vikas"/>
    <x v="1"/>
    <x v="3"/>
    <n v="15"/>
    <n v="9000"/>
    <n v="0"/>
    <n v="135000"/>
    <n v="95618.73157488936"/>
    <n v="39381.26842511064"/>
    <x v="1"/>
    <s v="Cash"/>
  </r>
  <r>
    <s v="ORD0365"/>
    <x v="65"/>
    <x v="0"/>
    <s v="Goa"/>
    <s v="Priya"/>
    <x v="1"/>
    <x v="10"/>
    <n v="14"/>
    <n v="55000"/>
    <n v="0.15"/>
    <n v="654500"/>
    <n v="541983.78389184049"/>
    <n v="112516.2161081595"/>
    <x v="0"/>
    <s v="Cash"/>
  </r>
  <r>
    <s v="ORD0366"/>
    <x v="119"/>
    <x v="0"/>
    <s v="Gujarat"/>
    <s v="Rahul"/>
    <x v="2"/>
    <x v="14"/>
    <n v="5"/>
    <n v="8000"/>
    <n v="0.05"/>
    <n v="38000"/>
    <n v="26271.351686572569"/>
    <n v="11728.648313427429"/>
    <x v="1"/>
    <s v="Card"/>
  </r>
  <r>
    <s v="ORD0367"/>
    <x v="90"/>
    <x v="2"/>
    <s v="Uttar Pradesh"/>
    <s v="Amit"/>
    <x v="0"/>
    <x v="12"/>
    <n v="12"/>
    <n v="180"/>
    <n v="0"/>
    <n v="2160"/>
    <n v="1235.195240060232"/>
    <n v="924.80475993976756"/>
    <x v="1"/>
    <s v="UPI"/>
  </r>
  <r>
    <s v="ORD0368"/>
    <x v="29"/>
    <x v="2"/>
    <s v="Rajasthan"/>
    <s v="Rahul"/>
    <x v="3"/>
    <x v="13"/>
    <n v="15"/>
    <n v="3000"/>
    <n v="0"/>
    <n v="45000"/>
    <n v="28606.639286390549"/>
    <n v="16393.360713609451"/>
    <x v="1"/>
    <s v="Bank Transfer"/>
  </r>
  <r>
    <s v="ORD0369"/>
    <x v="228"/>
    <x v="3"/>
    <s v="Odisha"/>
    <s v="Rahul"/>
    <x v="0"/>
    <x v="12"/>
    <n v="12"/>
    <n v="180"/>
    <n v="0.1"/>
    <n v="1944"/>
    <n v="1585.3898713642379"/>
    <n v="358.61012863576161"/>
    <x v="1"/>
    <s v="UPI"/>
  </r>
  <r>
    <s v="ORD0370"/>
    <x v="229"/>
    <x v="0"/>
    <s v="Maharashtra"/>
    <s v="Pooja"/>
    <x v="1"/>
    <x v="3"/>
    <n v="15"/>
    <n v="9000"/>
    <n v="0.15"/>
    <n v="114750"/>
    <n v="89237.054109277742"/>
    <n v="25512.945890722262"/>
    <x v="1"/>
    <s v="Bank Transfer"/>
  </r>
  <r>
    <s v="ORD0371"/>
    <x v="19"/>
    <x v="2"/>
    <s v="Uttar Pradesh"/>
    <s v="Pooja"/>
    <x v="1"/>
    <x v="1"/>
    <n v="8"/>
    <n v="12000"/>
    <n v="0.1"/>
    <n v="86400"/>
    <n v="55293.65954457278"/>
    <n v="31106.34045542722"/>
    <x v="1"/>
    <s v="Cash"/>
  </r>
  <r>
    <s v="ORD0372"/>
    <x v="230"/>
    <x v="2"/>
    <s v="Uttar Pradesh"/>
    <s v="Sneha"/>
    <x v="0"/>
    <x v="2"/>
    <n v="12"/>
    <n v="120"/>
    <n v="0.15"/>
    <n v="1224"/>
    <n v="1046.2055114976181"/>
    <n v="177.79448850238171"/>
    <x v="0"/>
    <s v="Card"/>
  </r>
  <r>
    <s v="ORD0373"/>
    <x v="231"/>
    <x v="0"/>
    <s v="Gujarat"/>
    <s v="Amit"/>
    <x v="2"/>
    <x v="14"/>
    <n v="6"/>
    <n v="8000"/>
    <n v="0.1"/>
    <n v="43200"/>
    <n v="28041.145152918431"/>
    <n v="15158.854847081569"/>
    <x v="1"/>
    <s v="UPI"/>
  </r>
  <r>
    <s v="ORD0374"/>
    <x v="232"/>
    <x v="3"/>
    <s v="Odisha"/>
    <s v="Neha"/>
    <x v="2"/>
    <x v="15"/>
    <n v="13"/>
    <n v="7000"/>
    <n v="0.1"/>
    <n v="81900"/>
    <n v="56760.865759118387"/>
    <n v="25139.134240881609"/>
    <x v="1"/>
    <s v="UPI"/>
  </r>
  <r>
    <s v="ORD0375"/>
    <x v="111"/>
    <x v="3"/>
    <s v="Odisha"/>
    <s v="Priya"/>
    <x v="2"/>
    <x v="15"/>
    <n v="8"/>
    <n v="7000"/>
    <n v="0.1"/>
    <n v="50400"/>
    <n v="41120.245385920192"/>
    <n v="9279.7546140798149"/>
    <x v="2"/>
    <s v="Bank Transfer"/>
  </r>
  <r>
    <s v="ORD0376"/>
    <x v="231"/>
    <x v="2"/>
    <s v="Delhi"/>
    <s v="Amit"/>
    <x v="3"/>
    <x v="11"/>
    <n v="2"/>
    <n v="900"/>
    <n v="0.1"/>
    <n v="1620"/>
    <n v="1160.708158737677"/>
    <n v="459.29184126232258"/>
    <x v="1"/>
    <s v="Card"/>
  </r>
  <r>
    <s v="ORD0377"/>
    <x v="11"/>
    <x v="1"/>
    <s v="Telangana"/>
    <s v="Vikas"/>
    <x v="3"/>
    <x v="13"/>
    <n v="6"/>
    <n v="3000"/>
    <n v="0"/>
    <n v="18000"/>
    <n v="13280.677162430289"/>
    <n v="4719.3228375697054"/>
    <x v="0"/>
    <s v="Bank Transfer"/>
  </r>
  <r>
    <s v="ORD0378"/>
    <x v="144"/>
    <x v="2"/>
    <s v="Uttar Pradesh"/>
    <s v="Neha"/>
    <x v="3"/>
    <x v="11"/>
    <n v="2"/>
    <n v="900"/>
    <n v="0"/>
    <n v="1800"/>
    <n v="990.90953638644407"/>
    <n v="809.09046361355593"/>
    <x v="0"/>
    <s v="Card"/>
  </r>
  <r>
    <s v="ORD0379"/>
    <x v="63"/>
    <x v="0"/>
    <s v="Maharashtra"/>
    <s v="Sneha"/>
    <x v="2"/>
    <x v="14"/>
    <n v="3"/>
    <n v="8000"/>
    <n v="0.1"/>
    <n v="21600"/>
    <n v="13790.427510467751"/>
    <n v="7809.5724895322528"/>
    <x v="1"/>
    <s v="Cash"/>
  </r>
  <r>
    <s v="ORD0380"/>
    <x v="178"/>
    <x v="3"/>
    <s v="West Bengal"/>
    <s v="Amit"/>
    <x v="3"/>
    <x v="7"/>
    <n v="12"/>
    <n v="2200"/>
    <n v="0.05"/>
    <n v="25080"/>
    <n v="15174.35361752965"/>
    <n v="9905.6463824703478"/>
    <x v="0"/>
    <s v="Cash"/>
  </r>
  <r>
    <s v="ORD0381"/>
    <x v="57"/>
    <x v="3"/>
    <s v="Odisha"/>
    <s v="Rohan"/>
    <x v="2"/>
    <x v="14"/>
    <n v="1"/>
    <n v="8000"/>
    <n v="0.15"/>
    <n v="6800"/>
    <n v="5754.6336317760624"/>
    <n v="1045.366368223938"/>
    <x v="0"/>
    <s v="Bank Transfer"/>
  </r>
  <r>
    <s v="ORD0382"/>
    <x v="155"/>
    <x v="1"/>
    <s v="Telangana"/>
    <s v="Vikas"/>
    <x v="2"/>
    <x v="8"/>
    <n v="2"/>
    <n v="11000"/>
    <n v="0.1"/>
    <n v="19800"/>
    <n v="15427.06036432656"/>
    <n v="4372.9396356734414"/>
    <x v="0"/>
    <s v="Bank Transfer"/>
  </r>
  <r>
    <s v="ORD0383"/>
    <x v="233"/>
    <x v="3"/>
    <s v="Bihar"/>
    <s v="Rahul"/>
    <x v="2"/>
    <x v="5"/>
    <n v="7"/>
    <n v="6500"/>
    <n v="0.05"/>
    <n v="43225"/>
    <n v="35181.195116330127"/>
    <n v="8043.8048836698654"/>
    <x v="1"/>
    <s v="Bank Transfer"/>
  </r>
  <r>
    <s v="ORD0384"/>
    <x v="141"/>
    <x v="2"/>
    <s v="Uttar Pradesh"/>
    <s v="Vikas"/>
    <x v="0"/>
    <x v="0"/>
    <n v="4"/>
    <n v="250"/>
    <n v="0"/>
    <n v="1000"/>
    <n v="693.55854551723928"/>
    <n v="306.44145448276072"/>
    <x v="0"/>
    <s v="UPI"/>
  </r>
  <r>
    <s v="ORD0385"/>
    <x v="83"/>
    <x v="1"/>
    <s v="Telangana"/>
    <s v="Rohan"/>
    <x v="0"/>
    <x v="2"/>
    <n v="13"/>
    <n v="120"/>
    <n v="0.05"/>
    <n v="1482"/>
    <n v="1059.746139868771"/>
    <n v="422.25386013122852"/>
    <x v="0"/>
    <s v="Card"/>
  </r>
  <r>
    <s v="ORD0386"/>
    <x v="204"/>
    <x v="3"/>
    <s v="West Bengal"/>
    <s v="Sneha"/>
    <x v="1"/>
    <x v="10"/>
    <n v="7"/>
    <n v="55000"/>
    <n v="0"/>
    <n v="385000"/>
    <n v="216448.90570641309"/>
    <n v="168551.09429358691"/>
    <x v="2"/>
    <s v="UPI"/>
  </r>
  <r>
    <s v="ORD0387"/>
    <x v="85"/>
    <x v="2"/>
    <s v="Uttar Pradesh"/>
    <s v="Sneha"/>
    <x v="0"/>
    <x v="0"/>
    <n v="14"/>
    <n v="250"/>
    <n v="0"/>
    <n v="3500"/>
    <n v="2480.9288545430281"/>
    <n v="1019.071145456972"/>
    <x v="0"/>
    <s v="Cash"/>
  </r>
  <r>
    <s v="ORD0388"/>
    <x v="36"/>
    <x v="2"/>
    <s v="Rajasthan"/>
    <s v="Neha"/>
    <x v="1"/>
    <x v="1"/>
    <n v="12"/>
    <n v="12000"/>
    <n v="0.15"/>
    <n v="122400"/>
    <n v="92079.926249006123"/>
    <n v="30320.073750993881"/>
    <x v="0"/>
    <s v="Cash"/>
  </r>
  <r>
    <s v="ORD0389"/>
    <x v="234"/>
    <x v="3"/>
    <s v="Odisha"/>
    <s v="Sneha"/>
    <x v="3"/>
    <x v="13"/>
    <n v="9"/>
    <n v="3000"/>
    <n v="0"/>
    <n v="27000"/>
    <n v="14930.514125959509"/>
    <n v="12069.485874040491"/>
    <x v="0"/>
    <s v="Bank Transfer"/>
  </r>
  <r>
    <s v="ORD0390"/>
    <x v="32"/>
    <x v="1"/>
    <s v="Telangana"/>
    <s v="Priya"/>
    <x v="0"/>
    <x v="0"/>
    <n v="13"/>
    <n v="250"/>
    <n v="0"/>
    <n v="3250"/>
    <n v="2007.3978470488571"/>
    <n v="1242.6021529511429"/>
    <x v="1"/>
    <s v="UPI"/>
  </r>
  <r>
    <s v="ORD0391"/>
    <x v="235"/>
    <x v="0"/>
    <s v="Gujarat"/>
    <s v="Neha"/>
    <x v="1"/>
    <x v="3"/>
    <n v="5"/>
    <n v="9000"/>
    <n v="0.15"/>
    <n v="38250"/>
    <n v="27484.87981145224"/>
    <n v="10765.12018854776"/>
    <x v="1"/>
    <s v="Card"/>
  </r>
  <r>
    <s v="ORD0392"/>
    <x v="236"/>
    <x v="3"/>
    <s v="Bihar"/>
    <s v="Neha"/>
    <x v="2"/>
    <x v="15"/>
    <n v="3"/>
    <n v="7000"/>
    <n v="0.05"/>
    <n v="19950"/>
    <n v="14432.932003629439"/>
    <n v="5517.0679963705552"/>
    <x v="2"/>
    <s v="Card"/>
  </r>
  <r>
    <s v="ORD0393"/>
    <x v="237"/>
    <x v="0"/>
    <s v="Goa"/>
    <s v="Rahul"/>
    <x v="0"/>
    <x v="0"/>
    <n v="3"/>
    <n v="250"/>
    <n v="0.15"/>
    <n v="637.5"/>
    <n v="424.26044092051347"/>
    <n v="213.2395590794865"/>
    <x v="2"/>
    <s v="Bank Transfer"/>
  </r>
  <r>
    <s v="ORD0394"/>
    <x v="238"/>
    <x v="0"/>
    <s v="Gujarat"/>
    <s v="Sneha"/>
    <x v="2"/>
    <x v="8"/>
    <n v="11"/>
    <n v="11000"/>
    <n v="0.05"/>
    <n v="114950"/>
    <n v="75763.581713892549"/>
    <n v="39186.418286107451"/>
    <x v="0"/>
    <s v="Bank Transfer"/>
  </r>
  <r>
    <s v="ORD0395"/>
    <x v="74"/>
    <x v="0"/>
    <s v="Maharashtra"/>
    <s v="Amit"/>
    <x v="0"/>
    <x v="12"/>
    <n v="4"/>
    <n v="180"/>
    <n v="0.15"/>
    <n v="612"/>
    <n v="548.12136874541204"/>
    <n v="63.878631254587958"/>
    <x v="0"/>
    <s v="Card"/>
  </r>
  <r>
    <s v="ORD0396"/>
    <x v="216"/>
    <x v="3"/>
    <s v="West Bengal"/>
    <s v="Vikas"/>
    <x v="3"/>
    <x v="13"/>
    <n v="9"/>
    <n v="3000"/>
    <n v="0.05"/>
    <n v="25650"/>
    <n v="15003.422581548961"/>
    <n v="10646.577418451039"/>
    <x v="0"/>
    <s v="Bank Transfer"/>
  </r>
  <r>
    <s v="ORD0397"/>
    <x v="102"/>
    <x v="3"/>
    <s v="West Bengal"/>
    <s v="Rahul"/>
    <x v="0"/>
    <x v="0"/>
    <n v="6"/>
    <n v="250"/>
    <n v="0.15"/>
    <n v="1275"/>
    <n v="853.40917957673287"/>
    <n v="421.59082042326708"/>
    <x v="0"/>
    <s v="Cash"/>
  </r>
  <r>
    <s v="ORD0398"/>
    <x v="239"/>
    <x v="0"/>
    <s v="Maharashtra"/>
    <s v="Rohan"/>
    <x v="2"/>
    <x v="14"/>
    <n v="14"/>
    <n v="8000"/>
    <n v="0"/>
    <n v="112000"/>
    <n v="66895.72967121414"/>
    <n v="45104.27032878586"/>
    <x v="0"/>
    <s v="Cash"/>
  </r>
  <r>
    <s v="ORD0399"/>
    <x v="240"/>
    <x v="1"/>
    <s v="Karnataka"/>
    <s v="Neha"/>
    <x v="3"/>
    <x v="13"/>
    <n v="1"/>
    <n v="3000"/>
    <n v="0"/>
    <n v="3000"/>
    <n v="1700.541140120067"/>
    <n v="1299.458859879933"/>
    <x v="0"/>
    <s v="Cash"/>
  </r>
  <r>
    <s v="ORD0400"/>
    <x v="56"/>
    <x v="1"/>
    <s v="Tamil Nadu"/>
    <s v="Rohan"/>
    <x v="3"/>
    <x v="6"/>
    <n v="8"/>
    <n v="1200"/>
    <n v="0.1"/>
    <n v="8640"/>
    <n v="6236.1192764835114"/>
    <n v="2403.8807235164891"/>
    <x v="0"/>
    <s v="Cash"/>
  </r>
  <r>
    <s v="ORD0401"/>
    <x v="154"/>
    <x v="0"/>
    <s v="Goa"/>
    <s v="Priya"/>
    <x v="1"/>
    <x v="10"/>
    <n v="12"/>
    <n v="55000"/>
    <n v="0"/>
    <n v="660000"/>
    <n v="417298.88106195373"/>
    <n v="242701.1189380463"/>
    <x v="2"/>
    <s v="Card"/>
  </r>
  <r>
    <s v="ORD0402"/>
    <x v="241"/>
    <x v="0"/>
    <s v="Gujarat"/>
    <s v="Sneha"/>
    <x v="3"/>
    <x v="6"/>
    <n v="7"/>
    <n v="1200"/>
    <n v="0"/>
    <n v="8400"/>
    <n v="5535.7441926748816"/>
    <n v="2864.255807325118"/>
    <x v="1"/>
    <s v="Bank Transfer"/>
  </r>
  <r>
    <s v="ORD0403"/>
    <x v="153"/>
    <x v="2"/>
    <s v="Uttar Pradesh"/>
    <s v="Rahul"/>
    <x v="2"/>
    <x v="5"/>
    <n v="11"/>
    <n v="6500"/>
    <n v="0.05"/>
    <n v="67925"/>
    <n v="55069.305669583038"/>
    <n v="12855.69433041696"/>
    <x v="1"/>
    <s v="Cash"/>
  </r>
  <r>
    <s v="ORD0404"/>
    <x v="157"/>
    <x v="0"/>
    <s v="Goa"/>
    <s v="Sneha"/>
    <x v="3"/>
    <x v="11"/>
    <n v="5"/>
    <n v="900"/>
    <n v="0"/>
    <n v="4500"/>
    <n v="3249.4869672684408"/>
    <n v="1250.513032731559"/>
    <x v="2"/>
    <s v="UPI"/>
  </r>
  <r>
    <s v="ORD0405"/>
    <x v="242"/>
    <x v="1"/>
    <s v="Karnataka"/>
    <s v="Amit"/>
    <x v="2"/>
    <x v="5"/>
    <n v="4"/>
    <n v="6500"/>
    <n v="0"/>
    <n v="26000"/>
    <n v="15384.52074894643"/>
    <n v="10615.47925105357"/>
    <x v="0"/>
    <s v="Bank Transfer"/>
  </r>
  <r>
    <s v="ORD0406"/>
    <x v="222"/>
    <x v="0"/>
    <s v="Gujarat"/>
    <s v="Vikas"/>
    <x v="1"/>
    <x v="4"/>
    <n v="2"/>
    <n v="1800"/>
    <n v="0"/>
    <n v="3600"/>
    <n v="2580.7879050726679"/>
    <n v="1019.212094927332"/>
    <x v="2"/>
    <s v="UPI"/>
  </r>
  <r>
    <s v="ORD0407"/>
    <x v="179"/>
    <x v="1"/>
    <s v="Karnataka"/>
    <s v="Vikas"/>
    <x v="0"/>
    <x v="2"/>
    <n v="15"/>
    <n v="120"/>
    <n v="0"/>
    <n v="1800"/>
    <n v="1121.5633780147621"/>
    <n v="678.43662198523771"/>
    <x v="0"/>
    <s v="Card"/>
  </r>
  <r>
    <s v="ORD0408"/>
    <x v="16"/>
    <x v="1"/>
    <s v="Telangana"/>
    <s v="Sneha"/>
    <x v="0"/>
    <x v="9"/>
    <n v="7"/>
    <n v="80"/>
    <n v="0"/>
    <n v="560"/>
    <n v="308.62234648720971"/>
    <n v="251.37765351279029"/>
    <x v="0"/>
    <s v="Bank Transfer"/>
  </r>
  <r>
    <s v="ORD0409"/>
    <x v="182"/>
    <x v="2"/>
    <s v="Rajasthan"/>
    <s v="Neha"/>
    <x v="2"/>
    <x v="5"/>
    <n v="15"/>
    <n v="6500"/>
    <n v="0.1"/>
    <n v="87750"/>
    <n v="64004.37483349556"/>
    <n v="23745.62516650444"/>
    <x v="2"/>
    <s v="Cash"/>
  </r>
  <r>
    <s v="ORD0410"/>
    <x v="243"/>
    <x v="1"/>
    <s v="Telangana"/>
    <s v="Neha"/>
    <x v="1"/>
    <x v="4"/>
    <n v="14"/>
    <n v="1800"/>
    <n v="0"/>
    <n v="25200"/>
    <n v="19025.957637651489"/>
    <n v="6174.0423623485112"/>
    <x v="0"/>
    <s v="Cash"/>
  </r>
  <r>
    <s v="ORD0411"/>
    <x v="80"/>
    <x v="0"/>
    <s v="Maharashtra"/>
    <s v="Neha"/>
    <x v="1"/>
    <x v="3"/>
    <n v="13"/>
    <n v="9000"/>
    <n v="0.15"/>
    <n v="99450"/>
    <n v="70075.390065004147"/>
    <n v="29374.609934995849"/>
    <x v="0"/>
    <s v="Bank Transfer"/>
  </r>
  <r>
    <s v="ORD0412"/>
    <x v="141"/>
    <x v="1"/>
    <s v="Tamil Nadu"/>
    <s v="Rahul"/>
    <x v="3"/>
    <x v="7"/>
    <n v="15"/>
    <n v="2200"/>
    <n v="0.15"/>
    <n v="28050"/>
    <n v="23715.191618545919"/>
    <n v="4334.8083814540814"/>
    <x v="2"/>
    <s v="Cash"/>
  </r>
  <r>
    <s v="ORD0413"/>
    <x v="140"/>
    <x v="3"/>
    <s v="Odisha"/>
    <s v="Rahul"/>
    <x v="1"/>
    <x v="1"/>
    <n v="14"/>
    <n v="12000"/>
    <n v="0.15"/>
    <n v="142800"/>
    <n v="118836.0064203158"/>
    <n v="23963.993579684229"/>
    <x v="2"/>
    <s v="UPI"/>
  </r>
  <r>
    <s v="ORD0414"/>
    <x v="222"/>
    <x v="1"/>
    <s v="Telangana"/>
    <s v="Sneha"/>
    <x v="2"/>
    <x v="14"/>
    <n v="6"/>
    <n v="8000"/>
    <n v="0"/>
    <n v="48000"/>
    <n v="28815.763054539671"/>
    <n v="19184.236945460329"/>
    <x v="1"/>
    <s v="Card"/>
  </r>
  <r>
    <s v="ORD0415"/>
    <x v="11"/>
    <x v="2"/>
    <s v="Delhi"/>
    <s v="Amit"/>
    <x v="1"/>
    <x v="1"/>
    <n v="9"/>
    <n v="12000"/>
    <n v="0.05"/>
    <n v="102600"/>
    <n v="69040.232851108231"/>
    <n v="33559.767148891769"/>
    <x v="1"/>
    <s v="Card"/>
  </r>
  <r>
    <s v="ORD0416"/>
    <x v="244"/>
    <x v="0"/>
    <s v="Goa"/>
    <s v="Rohan"/>
    <x v="0"/>
    <x v="9"/>
    <n v="10"/>
    <n v="80"/>
    <n v="0.15"/>
    <n v="680"/>
    <n v="544.90946793547539"/>
    <n v="135.09053206452461"/>
    <x v="2"/>
    <s v="Cash"/>
  </r>
  <r>
    <s v="ORD0417"/>
    <x v="227"/>
    <x v="2"/>
    <s v="Rajasthan"/>
    <s v="Amit"/>
    <x v="2"/>
    <x v="14"/>
    <n v="6"/>
    <n v="8000"/>
    <n v="0.05"/>
    <n v="45600"/>
    <n v="31774.9516519229"/>
    <n v="13825.0483480771"/>
    <x v="0"/>
    <s v="UPI"/>
  </r>
  <r>
    <s v="ORD0418"/>
    <x v="127"/>
    <x v="3"/>
    <s v="West Bengal"/>
    <s v="Rahul"/>
    <x v="2"/>
    <x v="15"/>
    <n v="9"/>
    <n v="7000"/>
    <n v="0.05"/>
    <n v="59850"/>
    <n v="37714.882838927093"/>
    <n v="22135.117161072911"/>
    <x v="2"/>
    <s v="Cash"/>
  </r>
  <r>
    <s v="ORD0419"/>
    <x v="112"/>
    <x v="1"/>
    <s v="Tamil Nadu"/>
    <s v="Rahul"/>
    <x v="0"/>
    <x v="2"/>
    <n v="8"/>
    <n v="120"/>
    <n v="0.1"/>
    <n v="864"/>
    <n v="633.76787287088803"/>
    <n v="230.232127129112"/>
    <x v="0"/>
    <s v="Bank Transfer"/>
  </r>
  <r>
    <s v="ORD0420"/>
    <x v="72"/>
    <x v="0"/>
    <s v="Maharashtra"/>
    <s v="Amit"/>
    <x v="1"/>
    <x v="1"/>
    <n v="10"/>
    <n v="12000"/>
    <n v="0.15"/>
    <n v="102000"/>
    <n v="70447.164274144045"/>
    <n v="31552.835725855959"/>
    <x v="0"/>
    <s v="UPI"/>
  </r>
  <r>
    <s v="ORD0421"/>
    <x v="50"/>
    <x v="0"/>
    <s v="Maharashtra"/>
    <s v="Amit"/>
    <x v="0"/>
    <x v="0"/>
    <n v="9"/>
    <n v="250"/>
    <n v="0.1"/>
    <n v="2025"/>
    <n v="1547.667518046376"/>
    <n v="477.33248195362398"/>
    <x v="0"/>
    <s v="Card"/>
  </r>
  <r>
    <s v="ORD0422"/>
    <x v="19"/>
    <x v="0"/>
    <s v="Maharashtra"/>
    <s v="Rahul"/>
    <x v="3"/>
    <x v="6"/>
    <n v="14"/>
    <n v="1200"/>
    <n v="0.1"/>
    <n v="15120"/>
    <n v="9899.0700533361869"/>
    <n v="5220.9299466638131"/>
    <x v="0"/>
    <s v="UPI"/>
  </r>
  <r>
    <s v="ORD0423"/>
    <x v="207"/>
    <x v="2"/>
    <s v="Delhi"/>
    <s v="Rohan"/>
    <x v="0"/>
    <x v="12"/>
    <n v="10"/>
    <n v="180"/>
    <n v="0.15"/>
    <n v="1530"/>
    <n v="1018.500959375075"/>
    <n v="511.49904062492459"/>
    <x v="1"/>
    <s v="Cash"/>
  </r>
  <r>
    <s v="ORD0424"/>
    <x v="98"/>
    <x v="0"/>
    <s v="Maharashtra"/>
    <s v="Amit"/>
    <x v="3"/>
    <x v="7"/>
    <n v="10"/>
    <n v="2200"/>
    <n v="0"/>
    <n v="22000"/>
    <n v="12997.75625264569"/>
    <n v="9002.2437473543123"/>
    <x v="0"/>
    <s v="Cash"/>
  </r>
  <r>
    <s v="ORD0425"/>
    <x v="245"/>
    <x v="0"/>
    <s v="Gujarat"/>
    <s v="Amit"/>
    <x v="2"/>
    <x v="15"/>
    <n v="15"/>
    <n v="7000"/>
    <n v="0.1"/>
    <n v="94500"/>
    <n v="70357.368146326538"/>
    <n v="24142.631853673462"/>
    <x v="0"/>
    <s v="Bank Transfer"/>
  </r>
  <r>
    <s v="ORD0426"/>
    <x v="246"/>
    <x v="1"/>
    <s v="Tamil Nadu"/>
    <s v="Neha"/>
    <x v="3"/>
    <x v="13"/>
    <n v="10"/>
    <n v="3000"/>
    <n v="0.15"/>
    <n v="25500"/>
    <n v="17174.246667592801"/>
    <n v="8325.7533324071992"/>
    <x v="2"/>
    <s v="UPI"/>
  </r>
  <r>
    <s v="ORD0427"/>
    <x v="247"/>
    <x v="0"/>
    <s v="Gujarat"/>
    <s v="Priya"/>
    <x v="3"/>
    <x v="13"/>
    <n v="4"/>
    <n v="3000"/>
    <n v="0"/>
    <n v="12000"/>
    <n v="8557.2507906888586"/>
    <n v="3442.7492093111409"/>
    <x v="0"/>
    <s v="Cash"/>
  </r>
  <r>
    <s v="ORD0428"/>
    <x v="248"/>
    <x v="3"/>
    <s v="Bihar"/>
    <s v="Neha"/>
    <x v="2"/>
    <x v="5"/>
    <n v="7"/>
    <n v="6500"/>
    <n v="0.05"/>
    <n v="43225"/>
    <n v="26140.393360143589"/>
    <n v="17084.606639856411"/>
    <x v="2"/>
    <s v="Bank Transfer"/>
  </r>
  <r>
    <s v="ORD0429"/>
    <x v="231"/>
    <x v="2"/>
    <s v="Uttar Pradesh"/>
    <s v="Pooja"/>
    <x v="0"/>
    <x v="12"/>
    <n v="13"/>
    <n v="180"/>
    <n v="0"/>
    <n v="2340"/>
    <n v="1509.3993947948729"/>
    <n v="830.60060520512684"/>
    <x v="1"/>
    <s v="Card"/>
  </r>
  <r>
    <s v="ORD0430"/>
    <x v="176"/>
    <x v="3"/>
    <s v="Odisha"/>
    <s v="Priya"/>
    <x v="0"/>
    <x v="9"/>
    <n v="13"/>
    <n v="80"/>
    <n v="0.1"/>
    <n v="936"/>
    <n v="747.99915740062295"/>
    <n v="188.00084259937711"/>
    <x v="0"/>
    <s v="UPI"/>
  </r>
  <r>
    <s v="ORD0431"/>
    <x v="115"/>
    <x v="3"/>
    <s v="Bihar"/>
    <s v="Amit"/>
    <x v="2"/>
    <x v="15"/>
    <n v="4"/>
    <n v="7000"/>
    <n v="0.15"/>
    <n v="23800"/>
    <n v="17979.612237381662"/>
    <n v="5820.3877626183421"/>
    <x v="1"/>
    <s v="Bank Transfer"/>
  </r>
  <r>
    <s v="ORD0432"/>
    <x v="249"/>
    <x v="0"/>
    <s v="Maharashtra"/>
    <s v="Neha"/>
    <x v="2"/>
    <x v="14"/>
    <n v="15"/>
    <n v="8000"/>
    <n v="0.15"/>
    <n v="102000"/>
    <n v="78016.417193656293"/>
    <n v="23983.582806343711"/>
    <x v="1"/>
    <s v="Card"/>
  </r>
  <r>
    <s v="ORD0433"/>
    <x v="197"/>
    <x v="0"/>
    <s v="Goa"/>
    <s v="Neha"/>
    <x v="1"/>
    <x v="3"/>
    <n v="15"/>
    <n v="9000"/>
    <n v="0.1"/>
    <n v="121500"/>
    <n v="93313.631591753976"/>
    <n v="28186.36840824602"/>
    <x v="0"/>
    <s v="Cash"/>
  </r>
  <r>
    <s v="ORD0434"/>
    <x v="250"/>
    <x v="1"/>
    <s v="Telangana"/>
    <s v="Neha"/>
    <x v="3"/>
    <x v="6"/>
    <n v="1"/>
    <n v="1200"/>
    <n v="0"/>
    <n v="1200"/>
    <n v="894.75666762366927"/>
    <n v="305.24333237633073"/>
    <x v="1"/>
    <s v="Cash"/>
  </r>
  <r>
    <s v="ORD0435"/>
    <x v="64"/>
    <x v="1"/>
    <s v="Telangana"/>
    <s v="Priya"/>
    <x v="2"/>
    <x v="15"/>
    <n v="6"/>
    <n v="7000"/>
    <n v="0"/>
    <n v="42000"/>
    <n v="29427.48469324988"/>
    <n v="12572.51530675012"/>
    <x v="2"/>
    <s v="Bank Transfer"/>
  </r>
  <r>
    <s v="ORD0436"/>
    <x v="145"/>
    <x v="2"/>
    <s v="Uttar Pradesh"/>
    <s v="Priya"/>
    <x v="3"/>
    <x v="6"/>
    <n v="10"/>
    <n v="1200"/>
    <n v="0"/>
    <n v="12000"/>
    <n v="8028.9698547304542"/>
    <n v="3971.0301452695462"/>
    <x v="1"/>
    <s v="Card"/>
  </r>
  <r>
    <s v="ORD0437"/>
    <x v="251"/>
    <x v="2"/>
    <s v="Rajasthan"/>
    <s v="Amit"/>
    <x v="0"/>
    <x v="0"/>
    <n v="10"/>
    <n v="250"/>
    <n v="0"/>
    <n v="2500"/>
    <n v="1636.4864299787989"/>
    <n v="863.5135700212013"/>
    <x v="2"/>
    <s v="UPI"/>
  </r>
  <r>
    <s v="ORD0438"/>
    <x v="252"/>
    <x v="3"/>
    <s v="Bihar"/>
    <s v="Neha"/>
    <x v="1"/>
    <x v="10"/>
    <n v="9"/>
    <n v="55000"/>
    <n v="0.05"/>
    <n v="470250"/>
    <n v="310955.11708012008"/>
    <n v="159294.88291987989"/>
    <x v="0"/>
    <s v="Card"/>
  </r>
  <r>
    <s v="ORD0439"/>
    <x v="151"/>
    <x v="3"/>
    <s v="Odisha"/>
    <s v="Pooja"/>
    <x v="3"/>
    <x v="7"/>
    <n v="13"/>
    <n v="2200"/>
    <n v="0.05"/>
    <n v="27170"/>
    <n v="22053.028335034021"/>
    <n v="5116.9716649659786"/>
    <x v="0"/>
    <s v="Cash"/>
  </r>
  <r>
    <s v="ORD0440"/>
    <x v="86"/>
    <x v="3"/>
    <s v="West Bengal"/>
    <s v="Vikas"/>
    <x v="0"/>
    <x v="2"/>
    <n v="7"/>
    <n v="120"/>
    <n v="0"/>
    <n v="840"/>
    <n v="592.77958697577731"/>
    <n v="247.22041302422269"/>
    <x v="2"/>
    <s v="Card"/>
  </r>
  <r>
    <s v="ORD0441"/>
    <x v="29"/>
    <x v="0"/>
    <s v="Goa"/>
    <s v="Priya"/>
    <x v="0"/>
    <x v="0"/>
    <n v="5"/>
    <n v="250"/>
    <n v="0"/>
    <n v="1250"/>
    <n v="802.19255802175508"/>
    <n v="447.80744197824492"/>
    <x v="0"/>
    <s v="UPI"/>
  </r>
  <r>
    <s v="ORD0442"/>
    <x v="6"/>
    <x v="3"/>
    <s v="Odisha"/>
    <s v="Sneha"/>
    <x v="0"/>
    <x v="0"/>
    <n v="15"/>
    <n v="250"/>
    <n v="0.15"/>
    <n v="3187.5"/>
    <n v="2294.577862379339"/>
    <n v="892.92213762066058"/>
    <x v="2"/>
    <s v="UPI"/>
  </r>
  <r>
    <s v="ORD0443"/>
    <x v="131"/>
    <x v="1"/>
    <s v="Telangana"/>
    <s v="Vikas"/>
    <x v="2"/>
    <x v="5"/>
    <n v="4"/>
    <n v="6500"/>
    <n v="0"/>
    <n v="26000"/>
    <n v="15512.544021553869"/>
    <n v="10487.455978446131"/>
    <x v="1"/>
    <s v="Cash"/>
  </r>
  <r>
    <s v="ORD0444"/>
    <x v="227"/>
    <x v="0"/>
    <s v="Maharashtra"/>
    <s v="Vikas"/>
    <x v="3"/>
    <x v="11"/>
    <n v="13"/>
    <n v="900"/>
    <n v="0.15"/>
    <n v="9945"/>
    <n v="9012.959406448379"/>
    <n v="932.04059355162099"/>
    <x v="0"/>
    <s v="Card"/>
  </r>
  <r>
    <s v="ORD0445"/>
    <x v="199"/>
    <x v="3"/>
    <s v="Bihar"/>
    <s v="Rahul"/>
    <x v="0"/>
    <x v="12"/>
    <n v="3"/>
    <n v="180"/>
    <n v="0.15"/>
    <n v="459"/>
    <n v="331.80911459935191"/>
    <n v="127.1908854006481"/>
    <x v="1"/>
    <s v="Bank Transfer"/>
  </r>
  <r>
    <s v="ORD0446"/>
    <x v="194"/>
    <x v="3"/>
    <s v="Bihar"/>
    <s v="Pooja"/>
    <x v="1"/>
    <x v="4"/>
    <n v="7"/>
    <n v="1800"/>
    <n v="0"/>
    <n v="12600"/>
    <n v="8254.9541074478475"/>
    <n v="4345.0458925521534"/>
    <x v="2"/>
    <s v="Cash"/>
  </r>
  <r>
    <s v="ORD0447"/>
    <x v="191"/>
    <x v="0"/>
    <s v="Goa"/>
    <s v="Neha"/>
    <x v="2"/>
    <x v="14"/>
    <n v="10"/>
    <n v="8000"/>
    <n v="0"/>
    <n v="80000"/>
    <n v="49988.026078443851"/>
    <n v="30011.973921556149"/>
    <x v="1"/>
    <s v="Card"/>
  </r>
  <r>
    <s v="ORD0448"/>
    <x v="175"/>
    <x v="1"/>
    <s v="Tamil Nadu"/>
    <s v="Rohan"/>
    <x v="3"/>
    <x v="13"/>
    <n v="6"/>
    <n v="3000"/>
    <n v="0"/>
    <n v="18000"/>
    <n v="11964.90786876621"/>
    <n v="6035.092131233785"/>
    <x v="0"/>
    <s v="Card"/>
  </r>
  <r>
    <s v="ORD0449"/>
    <x v="253"/>
    <x v="2"/>
    <s v="Rajasthan"/>
    <s v="Sneha"/>
    <x v="0"/>
    <x v="12"/>
    <n v="3"/>
    <n v="180"/>
    <n v="0.15"/>
    <n v="459"/>
    <n v="313.28748447914148"/>
    <n v="145.71251552085849"/>
    <x v="1"/>
    <s v="Card"/>
  </r>
  <r>
    <s v="ORD0450"/>
    <x v="65"/>
    <x v="1"/>
    <s v="Telangana"/>
    <s v="Pooja"/>
    <x v="3"/>
    <x v="6"/>
    <n v="4"/>
    <n v="1200"/>
    <n v="0"/>
    <n v="4800"/>
    <n v="3523.24135389104"/>
    <n v="1276.75864610896"/>
    <x v="1"/>
    <s v="UPI"/>
  </r>
  <r>
    <s v="ORD0451"/>
    <x v="1"/>
    <x v="3"/>
    <s v="Odisha"/>
    <s v="Amit"/>
    <x v="2"/>
    <x v="5"/>
    <n v="13"/>
    <n v="6500"/>
    <n v="0.1"/>
    <n v="76050"/>
    <n v="52306.164330152278"/>
    <n v="23743.835669847718"/>
    <x v="2"/>
    <s v="Cash"/>
  </r>
  <r>
    <s v="ORD0452"/>
    <x v="254"/>
    <x v="1"/>
    <s v="Karnataka"/>
    <s v="Neha"/>
    <x v="2"/>
    <x v="5"/>
    <n v="8"/>
    <n v="6500"/>
    <n v="0"/>
    <n v="52000"/>
    <n v="33980.263636002957"/>
    <n v="18019.736363997039"/>
    <x v="2"/>
    <s v="Card"/>
  </r>
  <r>
    <s v="ORD0453"/>
    <x v="155"/>
    <x v="2"/>
    <s v="Rajasthan"/>
    <s v="Sneha"/>
    <x v="1"/>
    <x v="3"/>
    <n v="2"/>
    <n v="9000"/>
    <n v="0.05"/>
    <n v="17100"/>
    <n v="13490.905937652929"/>
    <n v="3609.0940623470742"/>
    <x v="0"/>
    <s v="UPI"/>
  </r>
  <r>
    <s v="ORD0454"/>
    <x v="255"/>
    <x v="2"/>
    <s v="Rajasthan"/>
    <s v="Neha"/>
    <x v="0"/>
    <x v="12"/>
    <n v="13"/>
    <n v="180"/>
    <n v="0.1"/>
    <n v="2106"/>
    <n v="1765.8001841261901"/>
    <n v="340.19981587380971"/>
    <x v="2"/>
    <s v="UPI"/>
  </r>
  <r>
    <s v="ORD0455"/>
    <x v="256"/>
    <x v="1"/>
    <s v="Telangana"/>
    <s v="Priya"/>
    <x v="0"/>
    <x v="12"/>
    <n v="11"/>
    <n v="180"/>
    <n v="0.15"/>
    <n v="1683"/>
    <n v="1349.323751142126"/>
    <n v="333.67624885787433"/>
    <x v="1"/>
    <s v="Card"/>
  </r>
  <r>
    <s v="ORD0456"/>
    <x v="257"/>
    <x v="1"/>
    <s v="Tamil Nadu"/>
    <s v="Neha"/>
    <x v="0"/>
    <x v="9"/>
    <n v="12"/>
    <n v="80"/>
    <n v="0.05"/>
    <n v="912"/>
    <n v="661.66900204373496"/>
    <n v="250.33099795626501"/>
    <x v="2"/>
    <s v="Card"/>
  </r>
  <r>
    <s v="ORD0457"/>
    <x v="25"/>
    <x v="3"/>
    <s v="Odisha"/>
    <s v="Neha"/>
    <x v="2"/>
    <x v="8"/>
    <n v="14"/>
    <n v="11000"/>
    <n v="0"/>
    <n v="154000"/>
    <n v="89128.913638127589"/>
    <n v="64871.086361872411"/>
    <x v="0"/>
    <s v="Cash"/>
  </r>
  <r>
    <s v="ORD0458"/>
    <x v="77"/>
    <x v="1"/>
    <s v="Karnataka"/>
    <s v="Amit"/>
    <x v="3"/>
    <x v="11"/>
    <n v="2"/>
    <n v="900"/>
    <n v="0"/>
    <n v="1800"/>
    <n v="1377.832575945393"/>
    <n v="422.16742405460741"/>
    <x v="1"/>
    <s v="Bank Transfer"/>
  </r>
  <r>
    <s v="ORD0459"/>
    <x v="16"/>
    <x v="0"/>
    <s v="Maharashtra"/>
    <s v="Neha"/>
    <x v="0"/>
    <x v="0"/>
    <n v="2"/>
    <n v="250"/>
    <n v="0.1"/>
    <n v="450"/>
    <n v="310.57762515824987"/>
    <n v="139.4223748417501"/>
    <x v="2"/>
    <s v="UPI"/>
  </r>
  <r>
    <s v="ORD0460"/>
    <x v="7"/>
    <x v="1"/>
    <s v="Telangana"/>
    <s v="Pooja"/>
    <x v="2"/>
    <x v="15"/>
    <n v="1"/>
    <n v="7000"/>
    <n v="0.05"/>
    <n v="6650"/>
    <n v="5235.1937960355617"/>
    <n v="1414.8062039644381"/>
    <x v="2"/>
    <s v="Card"/>
  </r>
  <r>
    <s v="ORD0461"/>
    <x v="152"/>
    <x v="3"/>
    <s v="West Bengal"/>
    <s v="Neha"/>
    <x v="2"/>
    <x v="14"/>
    <n v="11"/>
    <n v="8000"/>
    <n v="0.15"/>
    <n v="74800"/>
    <n v="57203.941997549133"/>
    <n v="17596.058002450871"/>
    <x v="2"/>
    <s v="Bank Transfer"/>
  </r>
  <r>
    <s v="ORD0462"/>
    <x v="66"/>
    <x v="1"/>
    <s v="Karnataka"/>
    <s v="Amit"/>
    <x v="3"/>
    <x v="13"/>
    <n v="6"/>
    <n v="3000"/>
    <n v="0.1"/>
    <n v="16200"/>
    <n v="10975.601161902179"/>
    <n v="5224.3988380978208"/>
    <x v="1"/>
    <s v="UPI"/>
  </r>
  <r>
    <s v="ORD0463"/>
    <x v="258"/>
    <x v="2"/>
    <s v="Rajasthan"/>
    <s v="Neha"/>
    <x v="3"/>
    <x v="11"/>
    <n v="12"/>
    <n v="900"/>
    <n v="0.1"/>
    <n v="9720"/>
    <n v="8292.2424594804215"/>
    <n v="1427.757540519578"/>
    <x v="1"/>
    <s v="Bank Transfer"/>
  </r>
  <r>
    <s v="ORD0464"/>
    <x v="1"/>
    <x v="2"/>
    <s v="Uttar Pradesh"/>
    <s v="Rohan"/>
    <x v="2"/>
    <x v="15"/>
    <n v="9"/>
    <n v="7000"/>
    <n v="0.05"/>
    <n v="59850"/>
    <n v="37382.393490419177"/>
    <n v="22467.606509580819"/>
    <x v="2"/>
    <s v="UPI"/>
  </r>
  <r>
    <s v="ORD0465"/>
    <x v="236"/>
    <x v="1"/>
    <s v="Telangana"/>
    <s v="Sneha"/>
    <x v="3"/>
    <x v="6"/>
    <n v="4"/>
    <n v="1200"/>
    <n v="0.05"/>
    <n v="4560"/>
    <n v="2727.4475454252379"/>
    <n v="1832.5524545747619"/>
    <x v="0"/>
    <s v="Card"/>
  </r>
  <r>
    <s v="ORD0466"/>
    <x v="141"/>
    <x v="2"/>
    <s v="Uttar Pradesh"/>
    <s v="Priya"/>
    <x v="0"/>
    <x v="12"/>
    <n v="4"/>
    <n v="180"/>
    <n v="0"/>
    <n v="720"/>
    <n v="426.20662884283757"/>
    <n v="293.79337115716243"/>
    <x v="0"/>
    <s v="Bank Transfer"/>
  </r>
  <r>
    <s v="ORD0467"/>
    <x v="241"/>
    <x v="3"/>
    <s v="Odisha"/>
    <s v="Amit"/>
    <x v="3"/>
    <x v="7"/>
    <n v="6"/>
    <n v="2200"/>
    <n v="0"/>
    <n v="13200"/>
    <n v="7721.9252903363331"/>
    <n v="5478.0747096636669"/>
    <x v="1"/>
    <s v="Cash"/>
  </r>
  <r>
    <s v="ORD0468"/>
    <x v="143"/>
    <x v="2"/>
    <s v="Rajasthan"/>
    <s v="Amit"/>
    <x v="2"/>
    <x v="14"/>
    <n v="12"/>
    <n v="8000"/>
    <n v="0"/>
    <n v="96000"/>
    <n v="57940.455794867499"/>
    <n v="38059.544205132501"/>
    <x v="2"/>
    <s v="UPI"/>
  </r>
  <r>
    <s v="ORD0469"/>
    <x v="170"/>
    <x v="2"/>
    <s v="Rajasthan"/>
    <s v="Vikas"/>
    <x v="0"/>
    <x v="12"/>
    <n v="6"/>
    <n v="180"/>
    <n v="0.1"/>
    <n v="972"/>
    <n v="767.11860500715591"/>
    <n v="204.88139499284409"/>
    <x v="1"/>
    <s v="UPI"/>
  </r>
  <r>
    <s v="ORD0470"/>
    <x v="234"/>
    <x v="0"/>
    <s v="Gujarat"/>
    <s v="Rohan"/>
    <x v="3"/>
    <x v="11"/>
    <n v="9"/>
    <n v="900"/>
    <n v="0.1"/>
    <n v="7290"/>
    <n v="4793.3277650256032"/>
    <n v="2496.6722349743968"/>
    <x v="1"/>
    <s v="Cash"/>
  </r>
  <r>
    <s v="ORD0471"/>
    <x v="259"/>
    <x v="1"/>
    <s v="Tamil Nadu"/>
    <s v="Sneha"/>
    <x v="3"/>
    <x v="7"/>
    <n v="12"/>
    <n v="2200"/>
    <n v="0"/>
    <n v="26400"/>
    <n v="15729.420208917471"/>
    <n v="10670.579791082529"/>
    <x v="2"/>
    <s v="Bank Transfer"/>
  </r>
  <r>
    <s v="ORD0472"/>
    <x v="167"/>
    <x v="2"/>
    <s v="Rajasthan"/>
    <s v="Pooja"/>
    <x v="2"/>
    <x v="15"/>
    <n v="12"/>
    <n v="7000"/>
    <n v="0.15"/>
    <n v="71400"/>
    <n v="56264.295206366289"/>
    <n v="15135.704793633709"/>
    <x v="0"/>
    <s v="Card"/>
  </r>
  <r>
    <s v="ORD0473"/>
    <x v="7"/>
    <x v="1"/>
    <s v="Tamil Nadu"/>
    <s v="Amit"/>
    <x v="1"/>
    <x v="1"/>
    <n v="2"/>
    <n v="12000"/>
    <n v="0"/>
    <n v="24000"/>
    <n v="16693.657491777631"/>
    <n v="7306.3425082223694"/>
    <x v="1"/>
    <s v="Card"/>
  </r>
  <r>
    <s v="ORD0474"/>
    <x v="41"/>
    <x v="0"/>
    <s v="Gujarat"/>
    <s v="Rahul"/>
    <x v="2"/>
    <x v="15"/>
    <n v="1"/>
    <n v="7000"/>
    <n v="0.15"/>
    <n v="5950"/>
    <n v="5111.3951368042062"/>
    <n v="838.60486319579377"/>
    <x v="2"/>
    <s v="Cash"/>
  </r>
  <r>
    <s v="ORD0475"/>
    <x v="236"/>
    <x v="1"/>
    <s v="Karnataka"/>
    <s v="Amit"/>
    <x v="3"/>
    <x v="11"/>
    <n v="11"/>
    <n v="900"/>
    <n v="0.15"/>
    <n v="8415"/>
    <n v="6215.5871143008962"/>
    <n v="2199.4128856991042"/>
    <x v="1"/>
    <s v="Card"/>
  </r>
  <r>
    <s v="ORD0476"/>
    <x v="231"/>
    <x v="1"/>
    <s v="Telangana"/>
    <s v="Vikas"/>
    <x v="1"/>
    <x v="1"/>
    <n v="8"/>
    <n v="12000"/>
    <n v="0"/>
    <n v="96000"/>
    <n v="59793.609463538232"/>
    <n v="36206.390536461768"/>
    <x v="2"/>
    <s v="UPI"/>
  </r>
  <r>
    <s v="ORD0477"/>
    <x v="31"/>
    <x v="0"/>
    <s v="Goa"/>
    <s v="Pooja"/>
    <x v="3"/>
    <x v="13"/>
    <n v="12"/>
    <n v="3000"/>
    <n v="0"/>
    <n v="36000"/>
    <n v="21875.764876312991"/>
    <n v="14124.235123687011"/>
    <x v="0"/>
    <s v="Bank Transfer"/>
  </r>
  <r>
    <s v="ORD0478"/>
    <x v="70"/>
    <x v="2"/>
    <s v="Uttar Pradesh"/>
    <s v="Pooja"/>
    <x v="3"/>
    <x v="7"/>
    <n v="10"/>
    <n v="2200"/>
    <n v="0"/>
    <n v="22000"/>
    <n v="14850.719954067339"/>
    <n v="7149.2800459326554"/>
    <x v="2"/>
    <s v="UPI"/>
  </r>
  <r>
    <s v="ORD0479"/>
    <x v="11"/>
    <x v="0"/>
    <s v="Goa"/>
    <s v="Amit"/>
    <x v="2"/>
    <x v="14"/>
    <n v="5"/>
    <n v="8000"/>
    <n v="0.05"/>
    <n v="38000"/>
    <n v="26982.774759660941"/>
    <n v="11017.225240339059"/>
    <x v="0"/>
    <s v="Bank Transfer"/>
  </r>
  <r>
    <s v="ORD0480"/>
    <x v="181"/>
    <x v="1"/>
    <s v="Karnataka"/>
    <s v="Rohan"/>
    <x v="0"/>
    <x v="0"/>
    <n v="6"/>
    <n v="250"/>
    <n v="0"/>
    <n v="1500"/>
    <n v="1052.109848996038"/>
    <n v="447.89015100396199"/>
    <x v="1"/>
    <s v="Bank Transfer"/>
  </r>
  <r>
    <s v="ORD0481"/>
    <x v="192"/>
    <x v="1"/>
    <s v="Telangana"/>
    <s v="Priya"/>
    <x v="0"/>
    <x v="9"/>
    <n v="7"/>
    <n v="80"/>
    <n v="0.05"/>
    <n v="532"/>
    <n v="322.22778046427533"/>
    <n v="209.7722195357247"/>
    <x v="1"/>
    <s v="UPI"/>
  </r>
  <r>
    <s v="ORD0482"/>
    <x v="260"/>
    <x v="1"/>
    <s v="Karnataka"/>
    <s v="Rohan"/>
    <x v="2"/>
    <x v="15"/>
    <n v="8"/>
    <n v="7000"/>
    <n v="0"/>
    <n v="56000"/>
    <n v="32071.946196033099"/>
    <n v="23928.053803966901"/>
    <x v="0"/>
    <s v="Bank Transfer"/>
  </r>
  <r>
    <s v="ORD0483"/>
    <x v="261"/>
    <x v="2"/>
    <s v="Delhi"/>
    <s v="Pooja"/>
    <x v="0"/>
    <x v="0"/>
    <n v="10"/>
    <n v="250"/>
    <n v="0"/>
    <n v="2500"/>
    <n v="1382.524513154264"/>
    <n v="1117.475486845736"/>
    <x v="1"/>
    <s v="Bank Transfer"/>
  </r>
  <r>
    <s v="ORD0484"/>
    <x v="186"/>
    <x v="0"/>
    <s v="Gujarat"/>
    <s v="Amit"/>
    <x v="3"/>
    <x v="13"/>
    <n v="13"/>
    <n v="3000"/>
    <n v="0"/>
    <n v="39000"/>
    <n v="28838.077407508281"/>
    <n v="10161.922592491719"/>
    <x v="0"/>
    <s v="Cash"/>
  </r>
  <r>
    <s v="ORD0485"/>
    <x v="20"/>
    <x v="2"/>
    <s v="Delhi"/>
    <s v="Sneha"/>
    <x v="2"/>
    <x v="15"/>
    <n v="2"/>
    <n v="7000"/>
    <n v="0"/>
    <n v="14000"/>
    <n v="9411.9485855159619"/>
    <n v="4588.0514144840381"/>
    <x v="0"/>
    <s v="UPI"/>
  </r>
  <r>
    <s v="ORD0486"/>
    <x v="151"/>
    <x v="1"/>
    <s v="Telangana"/>
    <s v="Rohan"/>
    <x v="3"/>
    <x v="11"/>
    <n v="13"/>
    <n v="900"/>
    <n v="0.15"/>
    <n v="9945"/>
    <n v="7398.2794175599483"/>
    <n v="2546.7205824400521"/>
    <x v="1"/>
    <s v="UPI"/>
  </r>
  <r>
    <s v="ORD0487"/>
    <x v="52"/>
    <x v="1"/>
    <s v="Telangana"/>
    <s v="Pooja"/>
    <x v="3"/>
    <x v="13"/>
    <n v="11"/>
    <n v="3000"/>
    <n v="0"/>
    <n v="33000"/>
    <n v="22202.304620281691"/>
    <n v="10797.695379718311"/>
    <x v="2"/>
    <s v="Card"/>
  </r>
  <r>
    <s v="ORD0488"/>
    <x v="50"/>
    <x v="2"/>
    <s v="Rajasthan"/>
    <s v="Sneha"/>
    <x v="3"/>
    <x v="6"/>
    <n v="14"/>
    <n v="1200"/>
    <n v="0.05"/>
    <n v="15960"/>
    <n v="11590.9092626732"/>
    <n v="4369.0907373268001"/>
    <x v="2"/>
    <s v="Card"/>
  </r>
  <r>
    <s v="ORD0489"/>
    <x v="262"/>
    <x v="2"/>
    <s v="Rajasthan"/>
    <s v="Amit"/>
    <x v="3"/>
    <x v="6"/>
    <n v="1"/>
    <n v="1200"/>
    <n v="0"/>
    <n v="1200"/>
    <n v="931.29598604527928"/>
    <n v="268.70401395472072"/>
    <x v="0"/>
    <s v="UPI"/>
  </r>
  <r>
    <s v="ORD0490"/>
    <x v="15"/>
    <x v="2"/>
    <s v="Delhi"/>
    <s v="Neha"/>
    <x v="0"/>
    <x v="0"/>
    <n v="4"/>
    <n v="250"/>
    <n v="0.05"/>
    <n v="950"/>
    <n v="554.99131543524788"/>
    <n v="395.00868456475212"/>
    <x v="0"/>
    <s v="UPI"/>
  </r>
  <r>
    <s v="ORD0491"/>
    <x v="83"/>
    <x v="0"/>
    <s v="Maharashtra"/>
    <s v="Sneha"/>
    <x v="3"/>
    <x v="13"/>
    <n v="3"/>
    <n v="3000"/>
    <n v="0"/>
    <n v="9000"/>
    <n v="5498.5255310674129"/>
    <n v="3501.4744689325871"/>
    <x v="1"/>
    <s v="Card"/>
  </r>
  <r>
    <s v="ORD0492"/>
    <x v="263"/>
    <x v="2"/>
    <s v="Delhi"/>
    <s v="Rahul"/>
    <x v="3"/>
    <x v="7"/>
    <n v="12"/>
    <n v="2200"/>
    <n v="0"/>
    <n v="26400"/>
    <n v="18913.580958392689"/>
    <n v="7486.419041607307"/>
    <x v="2"/>
    <s v="Cash"/>
  </r>
  <r>
    <s v="ORD0493"/>
    <x v="254"/>
    <x v="2"/>
    <s v="Delhi"/>
    <s v="Vikas"/>
    <x v="3"/>
    <x v="11"/>
    <n v="13"/>
    <n v="900"/>
    <n v="0"/>
    <n v="11700"/>
    <n v="8915.7561971358646"/>
    <n v="2784.243802864135"/>
    <x v="2"/>
    <s v="Bank Transfer"/>
  </r>
  <r>
    <s v="ORD0494"/>
    <x v="160"/>
    <x v="0"/>
    <s v="Maharashtra"/>
    <s v="Rahul"/>
    <x v="1"/>
    <x v="3"/>
    <n v="1"/>
    <n v="9000"/>
    <n v="0.05"/>
    <n v="8550"/>
    <n v="6035.4735376331764"/>
    <n v="2514.526462366824"/>
    <x v="2"/>
    <s v="UPI"/>
  </r>
  <r>
    <s v="ORD0495"/>
    <x v="188"/>
    <x v="1"/>
    <s v="Karnataka"/>
    <s v="Sneha"/>
    <x v="3"/>
    <x v="6"/>
    <n v="13"/>
    <n v="1200"/>
    <n v="0.15"/>
    <n v="13260"/>
    <n v="10644.01441561408"/>
    <n v="2615.9855843859241"/>
    <x v="2"/>
    <s v="Card"/>
  </r>
  <r>
    <s v="ORD0496"/>
    <x v="264"/>
    <x v="3"/>
    <s v="West Bengal"/>
    <s v="Rohan"/>
    <x v="2"/>
    <x v="5"/>
    <n v="2"/>
    <n v="6500"/>
    <n v="0.1"/>
    <n v="11700"/>
    <n v="8858.6073656267818"/>
    <n v="2841.3926343732178"/>
    <x v="2"/>
    <s v="Cash"/>
  </r>
  <r>
    <s v="ORD0497"/>
    <x v="265"/>
    <x v="3"/>
    <s v="Bihar"/>
    <s v="Pooja"/>
    <x v="3"/>
    <x v="7"/>
    <n v="13"/>
    <n v="2200"/>
    <n v="0"/>
    <n v="28600"/>
    <n v="18893.50821799822"/>
    <n v="9706.4917820017763"/>
    <x v="2"/>
    <s v="UPI"/>
  </r>
  <r>
    <s v="ORD0498"/>
    <x v="253"/>
    <x v="1"/>
    <s v="Karnataka"/>
    <s v="Priya"/>
    <x v="1"/>
    <x v="4"/>
    <n v="13"/>
    <n v="1800"/>
    <n v="0.1"/>
    <n v="21060"/>
    <n v="14610.601452702729"/>
    <n v="6449.3985472972709"/>
    <x v="1"/>
    <s v="Bank Transfer"/>
  </r>
  <r>
    <s v="ORD0499"/>
    <x v="266"/>
    <x v="3"/>
    <s v="Odisha"/>
    <s v="Neha"/>
    <x v="0"/>
    <x v="0"/>
    <n v="6"/>
    <n v="250"/>
    <n v="0.05"/>
    <n v="1425"/>
    <n v="1029.887616419169"/>
    <n v="395.11238358083068"/>
    <x v="1"/>
    <s v="Card"/>
  </r>
  <r>
    <s v="ORD0500"/>
    <x v="221"/>
    <x v="3"/>
    <s v="Bihar"/>
    <s v="Rahul"/>
    <x v="2"/>
    <x v="14"/>
    <n v="1"/>
    <n v="8000"/>
    <n v="0"/>
    <n v="8000"/>
    <n v="4767.420793034591"/>
    <n v="3232.579206965409"/>
    <x v="0"/>
    <s v="Ca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A983E-EB8D-4664-8C92-C841B966A4D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S44:S49"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axis="axisRow" showAll="0">
      <items count="5">
        <item x="3"/>
        <item x="2"/>
        <item x="1"/>
        <item x="0"/>
        <item t="default"/>
      </items>
    </pivotField>
    <pivotField showAll="0"/>
    <pivotField showAll="0"/>
    <pivotField showAll="0">
      <items count="5">
        <item x="3"/>
        <item x="1"/>
        <item x="2"/>
        <item x="0"/>
        <item t="default"/>
      </items>
    </pivotField>
    <pivotField showAll="0">
      <items count="17">
        <item x="5"/>
        <item x="14"/>
        <item x="8"/>
        <item x="9"/>
        <item x="7"/>
        <item x="4"/>
        <item x="10"/>
        <item x="1"/>
        <item x="11"/>
        <item x="2"/>
        <item x="15"/>
        <item x="0"/>
        <item x="3"/>
        <item x="12"/>
        <item x="6"/>
        <item x="13"/>
        <item t="default"/>
      </items>
    </pivotField>
    <pivotField showAll="0"/>
    <pivotField numFmtId="165" showAll="0"/>
    <pivotField numFmtId="9" showAll="0"/>
    <pivotField numFmtId="165" showAll="0"/>
    <pivotField numFmtId="165" showAll="0"/>
    <pivotField numFmtId="165" showAll="0"/>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A6C41-F463-4C3F-A6A0-2F9085CA8B5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S36:T42"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showAll="0">
      <items count="5">
        <item x="3"/>
        <item x="2"/>
        <item x="1"/>
        <item x="0"/>
        <item t="default"/>
      </items>
    </pivotField>
    <pivotField showAll="0"/>
    <pivotField showAll="0"/>
    <pivotField showAll="0">
      <items count="5">
        <item x="3"/>
        <item x="1"/>
        <item x="2"/>
        <item x="0"/>
        <item t="default"/>
      </items>
    </pivotField>
    <pivotField axis="axisRow" showAll="0" measureFilter="1">
      <items count="17">
        <item x="5"/>
        <item x="14"/>
        <item x="8"/>
        <item x="9"/>
        <item x="7"/>
        <item x="4"/>
        <item x="10"/>
        <item x="1"/>
        <item x="11"/>
        <item x="2"/>
        <item x="15"/>
        <item x="0"/>
        <item x="3"/>
        <item x="12"/>
        <item x="6"/>
        <item x="13"/>
        <item t="default"/>
      </items>
    </pivotField>
    <pivotField showAll="0"/>
    <pivotField numFmtId="165" showAll="0"/>
    <pivotField numFmtId="9" showAll="0"/>
    <pivotField dataField="1" numFmtId="165" showAll="0"/>
    <pivotField numFmtId="165" showAll="0"/>
    <pivotField numFmtId="165" showAll="0"/>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1"/>
    </i>
    <i>
      <x v="2"/>
    </i>
    <i>
      <x v="6"/>
    </i>
    <i>
      <x v="7"/>
    </i>
    <i>
      <x v="12"/>
    </i>
    <i t="grand">
      <x/>
    </i>
  </rowItems>
  <colItems count="1">
    <i/>
  </colItems>
  <dataFields count="1">
    <dataField name="Sum of Revenue" fld="10" baseField="0" baseItem="0" numFmtId="165"/>
  </dataFields>
  <formats count="1">
    <format dxfId="5">
      <pivotArea outline="0" collapsedLevelsAreSubtotals="1" fieldPosition="0"/>
    </format>
  </formats>
  <chartFormats count="1">
    <chartFormat chart="3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129883-F176-45FD-B7F8-D345A1D40D2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30:T34"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showAll="0">
      <items count="5">
        <item x="3"/>
        <item x="2"/>
        <item x="1"/>
        <item x="0"/>
        <item t="default"/>
      </items>
    </pivotField>
    <pivotField showAll="0"/>
    <pivotField showAll="0"/>
    <pivotField showAll="0">
      <items count="5">
        <item x="3"/>
        <item x="1"/>
        <item x="2"/>
        <item x="0"/>
        <item t="default"/>
      </items>
    </pivotField>
    <pivotField showAll="0"/>
    <pivotField showAll="0"/>
    <pivotField numFmtId="165" showAll="0"/>
    <pivotField numFmtId="9" showAll="0"/>
    <pivotField dataField="1" numFmtId="165" showAll="0"/>
    <pivotField numFmtId="165" showAll="0"/>
    <pivotField numFmtId="165" showAll="0"/>
    <pivotField axis="axisRow"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Sum of Revenue" fld="10" baseField="0" baseItem="0" numFmtId="165"/>
  </dataFields>
  <formats count="1">
    <format dxfId="6">
      <pivotArea outline="0" collapsedLevelsAreSubtotals="1"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B6E8D8-AD35-4099-B0D9-43F291ED43A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S15:T28"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showAll="0">
      <items count="5">
        <item x="3"/>
        <item x="2"/>
        <item x="1"/>
        <item x="0"/>
        <item t="default"/>
      </items>
    </pivotField>
    <pivotField showAll="0"/>
    <pivotField showAll="0"/>
    <pivotField showAll="0">
      <items count="5">
        <item x="3"/>
        <item x="1"/>
        <item x="2"/>
        <item x="0"/>
        <item t="default"/>
      </items>
    </pivotField>
    <pivotField showAll="0"/>
    <pivotField showAll="0"/>
    <pivotField numFmtId="165" showAll="0"/>
    <pivotField numFmtId="9" showAll="0"/>
    <pivotField dataField="1" numFmtId="165" showAll="0"/>
    <pivotField numFmtId="165" showAll="0"/>
    <pivotField numFmtId="165"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Revenue" fld="10" baseField="0" baseItem="0" numFmtId="165"/>
  </dataFields>
  <formats count="1">
    <format dxfId="7">
      <pivotArea outline="0" collapsedLevelsAreSubtotals="1"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DD95D4-5BA1-4232-91EF-FD9F5629F2A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8:T13"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showAll="0">
      <items count="5">
        <item x="3"/>
        <item x="2"/>
        <item x="1"/>
        <item x="0"/>
        <item t="default"/>
      </items>
    </pivotField>
    <pivotField showAll="0"/>
    <pivotField showAll="0"/>
    <pivotField axis="axisRow" showAll="0">
      <items count="5">
        <item x="3"/>
        <item x="1"/>
        <item x="2"/>
        <item x="0"/>
        <item t="default"/>
      </items>
    </pivotField>
    <pivotField showAll="0"/>
    <pivotField showAll="0"/>
    <pivotField numFmtId="165" showAll="0"/>
    <pivotField numFmtId="9" showAll="0"/>
    <pivotField numFmtId="165" showAll="0"/>
    <pivotField numFmtId="165" showAll="0"/>
    <pivotField dataField="1"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Profit" fld="12" baseField="0" baseItem="0" numFmtId="165"/>
  </dataFields>
  <formats count="1">
    <format dxfId="8">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F2976-97F9-4211-BF2F-5642B8ED9A0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T6" firstHeaderRow="1" firstDataRow="1" firstDataCol="1"/>
  <pivotFields count="17">
    <pivotField showAll="0"/>
    <pivotField numFmtId="164" showAll="0">
      <items count="268">
        <item x="123"/>
        <item x="247"/>
        <item x="153"/>
        <item x="53"/>
        <item x="56"/>
        <item x="224"/>
        <item x="266"/>
        <item x="67"/>
        <item x="217"/>
        <item x="170"/>
        <item x="209"/>
        <item x="80"/>
        <item x="33"/>
        <item x="31"/>
        <item x="108"/>
        <item x="30"/>
        <item x="90"/>
        <item x="9"/>
        <item x="264"/>
        <item x="103"/>
        <item x="204"/>
        <item x="129"/>
        <item x="17"/>
        <item x="249"/>
        <item x="200"/>
        <item x="124"/>
        <item x="256"/>
        <item x="26"/>
        <item x="210"/>
        <item x="113"/>
        <item x="213"/>
        <item x="117"/>
        <item x="54"/>
        <item x="188"/>
        <item x="137"/>
        <item x="259"/>
        <item x="102"/>
        <item x="119"/>
        <item x="189"/>
        <item x="69"/>
        <item x="150"/>
        <item x="99"/>
        <item x="96"/>
        <item x="159"/>
        <item x="73"/>
        <item x="252"/>
        <item x="194"/>
        <item x="43"/>
        <item x="60"/>
        <item x="14"/>
        <item x="18"/>
        <item x="246"/>
        <item x="206"/>
        <item x="214"/>
        <item x="65"/>
        <item x="143"/>
        <item x="12"/>
        <item x="64"/>
        <item x="235"/>
        <item x="219"/>
        <item x="183"/>
        <item x="110"/>
        <item x="125"/>
        <item x="32"/>
        <item x="240"/>
        <item x="105"/>
        <item x="55"/>
        <item x="127"/>
        <item x="20"/>
        <item x="58"/>
        <item x="243"/>
        <item x="265"/>
        <item x="126"/>
        <item x="185"/>
        <item x="261"/>
        <item x="175"/>
        <item x="94"/>
        <item x="132"/>
        <item x="95"/>
        <item x="199"/>
        <item x="168"/>
        <item x="86"/>
        <item x="165"/>
        <item x="25"/>
        <item x="196"/>
        <item x="74"/>
        <item x="27"/>
        <item x="16"/>
        <item x="131"/>
        <item x="234"/>
        <item x="167"/>
        <item x="35"/>
        <item x="226"/>
        <item x="79"/>
        <item x="186"/>
        <item x="218"/>
        <item x="68"/>
        <item x="92"/>
        <item x="163"/>
        <item x="40"/>
        <item x="44"/>
        <item x="141"/>
        <item x="238"/>
        <item x="85"/>
        <item x="38"/>
        <item x="84"/>
        <item x="66"/>
        <item x="13"/>
        <item x="118"/>
        <item x="51"/>
        <item x="101"/>
        <item x="8"/>
        <item x="160"/>
        <item x="114"/>
        <item x="70"/>
        <item x="7"/>
        <item x="232"/>
        <item x="76"/>
        <item x="254"/>
        <item x="115"/>
        <item x="2"/>
        <item x="29"/>
        <item x="157"/>
        <item x="158"/>
        <item x="208"/>
        <item x="144"/>
        <item x="171"/>
        <item x="182"/>
        <item x="187"/>
        <item x="4"/>
        <item x="184"/>
        <item x="245"/>
        <item x="215"/>
        <item x="221"/>
        <item x="244"/>
        <item x="207"/>
        <item x="5"/>
        <item x="255"/>
        <item x="223"/>
        <item x="122"/>
        <item x="203"/>
        <item x="45"/>
        <item x="198"/>
        <item x="257"/>
        <item x="34"/>
        <item x="22"/>
        <item x="251"/>
        <item x="47"/>
        <item x="172"/>
        <item x="135"/>
        <item x="19"/>
        <item x="173"/>
        <item x="178"/>
        <item x="46"/>
        <item x="97"/>
        <item x="248"/>
        <item x="193"/>
        <item x="142"/>
        <item x="121"/>
        <item x="130"/>
        <item x="78"/>
        <item x="147"/>
        <item x="133"/>
        <item x="111"/>
        <item x="179"/>
        <item x="233"/>
        <item x="11"/>
        <item x="151"/>
        <item x="220"/>
        <item x="48"/>
        <item x="139"/>
        <item x="87"/>
        <item x="61"/>
        <item x="149"/>
        <item x="77"/>
        <item x="41"/>
        <item x="258"/>
        <item x="202"/>
        <item x="227"/>
        <item x="263"/>
        <item x="222"/>
        <item x="156"/>
        <item x="211"/>
        <item x="174"/>
        <item x="107"/>
        <item x="71"/>
        <item x="154"/>
        <item x="237"/>
        <item x="75"/>
        <item x="36"/>
        <item x="140"/>
        <item x="216"/>
        <item x="250"/>
        <item x="197"/>
        <item x="192"/>
        <item x="59"/>
        <item x="10"/>
        <item x="82"/>
        <item x="241"/>
        <item x="88"/>
        <item x="181"/>
        <item x="195"/>
        <item x="146"/>
        <item x="190"/>
        <item x="21"/>
        <item x="57"/>
        <item x="23"/>
        <item x="231"/>
        <item x="1"/>
        <item x="50"/>
        <item x="242"/>
        <item x="229"/>
        <item x="260"/>
        <item x="201"/>
        <item x="253"/>
        <item x="230"/>
        <item x="39"/>
        <item x="83"/>
        <item x="24"/>
        <item x="148"/>
        <item x="109"/>
        <item x="112"/>
        <item x="262"/>
        <item x="106"/>
        <item x="52"/>
        <item x="128"/>
        <item x="3"/>
        <item x="155"/>
        <item x="63"/>
        <item x="191"/>
        <item x="98"/>
        <item x="166"/>
        <item x="62"/>
        <item x="89"/>
        <item x="104"/>
        <item x="120"/>
        <item x="236"/>
        <item x="72"/>
        <item x="100"/>
        <item x="169"/>
        <item x="152"/>
        <item x="138"/>
        <item x="162"/>
        <item x="228"/>
        <item x="49"/>
        <item x="225"/>
        <item x="164"/>
        <item x="116"/>
        <item x="176"/>
        <item x="212"/>
        <item x="28"/>
        <item x="37"/>
        <item x="180"/>
        <item x="0"/>
        <item x="6"/>
        <item x="93"/>
        <item x="42"/>
        <item x="15"/>
        <item x="177"/>
        <item x="81"/>
        <item x="91"/>
        <item x="205"/>
        <item x="239"/>
        <item x="145"/>
        <item x="161"/>
        <item x="136"/>
        <item x="134"/>
        <item t="default"/>
      </items>
    </pivotField>
    <pivotField axis="axisRow" showAll="0">
      <items count="5">
        <item x="3"/>
        <item x="2"/>
        <item x="1"/>
        <item x="0"/>
        <item t="default"/>
      </items>
    </pivotField>
    <pivotField showAll="0"/>
    <pivotField showAll="0"/>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10"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7EFE7D-3C83-45B2-98EF-A0FF8D66A7FC}" sourceName="Region">
  <pivotTables>
    <pivotTable tabId="7" name="PivotTable8"/>
    <pivotTable tabId="7" name="PivotTable1"/>
    <pivotTable tabId="7" name="PivotTable2"/>
    <pivotTable tabId="7" name="PivotTable3"/>
    <pivotTable tabId="7" name="PivotTable4"/>
    <pivotTable tabId="7" name="PivotTable5"/>
  </pivotTables>
  <data>
    <tabular pivotCacheId="119815685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2C4CEB-B00B-46A4-9BEC-8ADA20CF5173}" cache="Slicer_Region"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O501">
  <autoFilter ref="A1:O501" xr:uid="{00000000-0009-0000-0100-000001000000}"/>
  <tableColumns count="15">
    <tableColumn id="1" xr3:uid="{00000000-0010-0000-0000-000001000000}" name="Order_ID"/>
    <tableColumn id="2" xr3:uid="{00000000-0010-0000-0000-000002000000}" name="Order_Date"/>
    <tableColumn id="3" xr3:uid="{00000000-0010-0000-0000-000003000000}" name="Region"/>
    <tableColumn id="4" xr3:uid="{00000000-0010-0000-0000-000004000000}" name="State"/>
    <tableColumn id="5" xr3:uid="{00000000-0010-0000-0000-000005000000}" name="Salesperson"/>
    <tableColumn id="6" xr3:uid="{00000000-0010-0000-0000-000006000000}" name="Category"/>
    <tableColumn id="7" xr3:uid="{00000000-0010-0000-0000-000007000000}" name="Product"/>
    <tableColumn id="8" xr3:uid="{00000000-0010-0000-0000-000008000000}" name="Units"/>
    <tableColumn id="9" xr3:uid="{00000000-0010-0000-0000-000009000000}" name="Unit_Price"/>
    <tableColumn id="10" xr3:uid="{00000000-0010-0000-0000-00000A000000}" name="Discount"/>
    <tableColumn id="11" xr3:uid="{00000000-0010-0000-0000-00000B000000}" name="Revenue"/>
    <tableColumn id="12" xr3:uid="{00000000-0010-0000-0000-00000C000000}" name="Cost"/>
    <tableColumn id="13" xr3:uid="{00000000-0010-0000-0000-00000D000000}" name="Profit"/>
    <tableColumn id="14" xr3:uid="{00000000-0010-0000-0000-00000E000000}" name="Customer_Type"/>
    <tableColumn id="15" xr3:uid="{00000000-0010-0000-0000-00000F000000}" name="Payment_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ees" displayName="Employees" ref="A1:J101">
  <autoFilter ref="A1:J101" xr:uid="{00000000-0009-0000-0100-000002000000}"/>
  <tableColumns count="10">
    <tableColumn id="1" xr3:uid="{00000000-0010-0000-0100-000001000000}" name="Emp_ID"/>
    <tableColumn id="2" xr3:uid="{00000000-0010-0000-0100-000002000000}" name="Name"/>
    <tableColumn id="3" xr3:uid="{00000000-0010-0000-0100-000003000000}" name="Department"/>
    <tableColumn id="4" xr3:uid="{00000000-0010-0000-0100-000004000000}" name="Designation"/>
    <tableColumn id="5" xr3:uid="{00000000-0010-0000-0100-000005000000}" name="Joining_Date"/>
    <tableColumn id="6" xr3:uid="{00000000-0010-0000-0100-000006000000}" name="Location"/>
    <tableColumn id="7" xr3:uid="{00000000-0010-0000-0100-000007000000}" name="Salary"/>
    <tableColumn id="8" xr3:uid="{00000000-0010-0000-0100-000008000000}" name="Performance"/>
    <tableColumn id="9" xr3:uid="{00000000-0010-0000-0100-000009000000}" name="Experience_Years"/>
    <tableColumn id="10" xr3:uid="{00000000-0010-0000-0100-00000A000000}" name="Manager"/>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Master" displayName="ProductMaster" ref="A1:E17">
  <autoFilter ref="A1:E17" xr:uid="{00000000-0009-0000-0100-000003000000}"/>
  <tableColumns count="5">
    <tableColumn id="1" xr3:uid="{00000000-0010-0000-0200-000001000000}" name="Product"/>
    <tableColumn id="2" xr3:uid="{00000000-0010-0000-0200-000002000000}" name="Category"/>
    <tableColumn id="3" xr3:uid="{00000000-0010-0000-0200-000003000000}" name="Standard_Price"/>
    <tableColumn id="4" xr3:uid="{00000000-0010-0000-0200-000004000000}" name="Target_Margin"/>
    <tableColumn id="5" xr3:uid="{00000000-0010-0000-0200-000005000000}" name="Region_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workbookViewId="0"/>
  </sheetViews>
  <sheetFormatPr defaultRowHeight="15" x14ac:dyDescent="0.25"/>
  <cols>
    <col min="1" max="1" width="38" customWidth="1"/>
    <col min="2" max="2" width="90" customWidth="1"/>
  </cols>
  <sheetData>
    <row r="1" spans="1:2" ht="4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2" t="s">
        <v>23</v>
      </c>
    </row>
    <row r="14" spans="1:2" ht="18.75" x14ac:dyDescent="0.3">
      <c r="A14" s="10" t="s">
        <v>24</v>
      </c>
    </row>
    <row r="15" spans="1:2" x14ac:dyDescent="0.25">
      <c r="A15" s="20" t="s">
        <v>25</v>
      </c>
      <c r="B15" s="21"/>
    </row>
    <row r="16" spans="1:2" x14ac:dyDescent="0.25">
      <c r="A16" s="20" t="s">
        <v>26</v>
      </c>
      <c r="B16" s="21"/>
    </row>
    <row r="17" spans="1:2" x14ac:dyDescent="0.25">
      <c r="A17" s="20" t="s">
        <v>27</v>
      </c>
      <c r="B17" s="21"/>
    </row>
    <row r="18" spans="1:2" x14ac:dyDescent="0.25">
      <c r="A18" s="20" t="s">
        <v>28</v>
      </c>
      <c r="B18" s="21"/>
    </row>
    <row r="19" spans="1:2" x14ac:dyDescent="0.25">
      <c r="A19" s="20" t="s">
        <v>29</v>
      </c>
      <c r="B19" s="21"/>
    </row>
    <row r="20" spans="1:2" x14ac:dyDescent="0.25">
      <c r="A20" s="20" t="s">
        <v>30</v>
      </c>
      <c r="B20" s="21"/>
    </row>
    <row r="21" spans="1:2" x14ac:dyDescent="0.25">
      <c r="A21" s="20" t="s">
        <v>31</v>
      </c>
      <c r="B21" s="21"/>
    </row>
    <row r="22" spans="1:2" x14ac:dyDescent="0.25">
      <c r="A22" s="20" t="s">
        <v>32</v>
      </c>
      <c r="B22" s="21"/>
    </row>
  </sheetData>
  <mergeCells count="8">
    <mergeCell ref="A22:B22"/>
    <mergeCell ref="A20:B20"/>
    <mergeCell ref="A21:B21"/>
    <mergeCell ref="A16:B16"/>
    <mergeCell ref="A15:B15"/>
    <mergeCell ref="A19:B19"/>
    <mergeCell ref="A17:B17"/>
    <mergeCell ref="A18:B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1"/>
  <sheetViews>
    <sheetView showGridLines="0" workbookViewId="0">
      <pane ySplit="1" topLeftCell="A2" activePane="bottomLeft" state="frozen"/>
      <selection pane="bottomLeft" activeCell="F34" sqref="A1:O501"/>
    </sheetView>
  </sheetViews>
  <sheetFormatPr defaultRowHeight="15" x14ac:dyDescent="0.25"/>
  <cols>
    <col min="1" max="1" width="13" customWidth="1"/>
    <col min="2" max="2" width="14" customWidth="1"/>
    <col min="3" max="3" width="12" customWidth="1"/>
    <col min="4" max="4" width="18" customWidth="1"/>
    <col min="5" max="5" width="14" customWidth="1"/>
    <col min="6" max="7" width="18" customWidth="1"/>
    <col min="8" max="8" width="9" customWidth="1"/>
    <col min="9" max="9" width="13" customWidth="1"/>
    <col min="10" max="10" width="11" customWidth="1"/>
    <col min="11" max="13" width="14" customWidth="1"/>
    <col min="14" max="14" width="15" customWidth="1"/>
    <col min="15" max="15" width="17" customWidth="1"/>
  </cols>
  <sheetData>
    <row r="1" spans="1:15" x14ac:dyDescent="0.25">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row>
    <row r="2" spans="1:15" x14ac:dyDescent="0.25">
      <c r="A2" s="4" t="s">
        <v>48</v>
      </c>
      <c r="B2" s="5">
        <v>46004</v>
      </c>
      <c r="C2" s="4" t="s">
        <v>49</v>
      </c>
      <c r="D2" s="4" t="s">
        <v>50</v>
      </c>
      <c r="E2" s="4" t="s">
        <v>51</v>
      </c>
      <c r="F2" s="4" t="s">
        <v>52</v>
      </c>
      <c r="G2" s="4" t="s">
        <v>53</v>
      </c>
      <c r="H2" s="4">
        <v>4</v>
      </c>
      <c r="I2" s="6">
        <v>250</v>
      </c>
      <c r="J2" s="7">
        <v>0</v>
      </c>
      <c r="K2" s="6">
        <v>1000</v>
      </c>
      <c r="L2" s="6">
        <v>719.38837925772293</v>
      </c>
      <c r="M2" s="6">
        <v>280.61162074227713</v>
      </c>
      <c r="N2" s="4" t="s">
        <v>54</v>
      </c>
      <c r="O2" s="4" t="s">
        <v>55</v>
      </c>
    </row>
    <row r="3" spans="1:15" x14ac:dyDescent="0.25">
      <c r="A3" s="4" t="s">
        <v>56</v>
      </c>
      <c r="B3" s="5">
        <v>45945</v>
      </c>
      <c r="C3" s="4" t="s">
        <v>49</v>
      </c>
      <c r="D3" s="4" t="s">
        <v>50</v>
      </c>
      <c r="E3" s="4" t="s">
        <v>57</v>
      </c>
      <c r="F3" s="4" t="s">
        <v>58</v>
      </c>
      <c r="G3" s="4" t="s">
        <v>59</v>
      </c>
      <c r="H3" s="4">
        <v>4</v>
      </c>
      <c r="I3" s="6">
        <v>12000</v>
      </c>
      <c r="J3" s="7">
        <v>0.15</v>
      </c>
      <c r="K3" s="6">
        <v>40800</v>
      </c>
      <c r="L3" s="6">
        <v>33046.286768711783</v>
      </c>
      <c r="M3" s="6">
        <v>7753.7132312882168</v>
      </c>
      <c r="N3" s="4" t="s">
        <v>54</v>
      </c>
      <c r="O3" s="4" t="s">
        <v>55</v>
      </c>
    </row>
    <row r="4" spans="1:15" x14ac:dyDescent="0.25">
      <c r="A4" s="4" t="s">
        <v>60</v>
      </c>
      <c r="B4" s="5">
        <v>45832</v>
      </c>
      <c r="C4" s="4" t="s">
        <v>61</v>
      </c>
      <c r="D4" s="4" t="s">
        <v>62</v>
      </c>
      <c r="E4" s="4" t="s">
        <v>63</v>
      </c>
      <c r="F4" s="4" t="s">
        <v>52</v>
      </c>
      <c r="G4" s="4" t="s">
        <v>64</v>
      </c>
      <c r="H4" s="4">
        <v>13</v>
      </c>
      <c r="I4" s="6">
        <v>120</v>
      </c>
      <c r="J4" s="7">
        <v>0</v>
      </c>
      <c r="K4" s="6">
        <v>1560</v>
      </c>
      <c r="L4" s="6">
        <v>1108.4924149217759</v>
      </c>
      <c r="M4" s="6">
        <v>451.50758507822411</v>
      </c>
      <c r="N4" s="4" t="s">
        <v>65</v>
      </c>
      <c r="O4" s="4" t="s">
        <v>66</v>
      </c>
    </row>
    <row r="5" spans="1:15" x14ac:dyDescent="0.25">
      <c r="A5" s="4" t="s">
        <v>67</v>
      </c>
      <c r="B5" s="5">
        <v>45967</v>
      </c>
      <c r="C5" s="4" t="s">
        <v>68</v>
      </c>
      <c r="D5" s="4" t="s">
        <v>69</v>
      </c>
      <c r="E5" s="4" t="s">
        <v>63</v>
      </c>
      <c r="F5" s="4" t="s">
        <v>58</v>
      </c>
      <c r="G5" s="4" t="s">
        <v>70</v>
      </c>
      <c r="H5" s="4">
        <v>2</v>
      </c>
      <c r="I5" s="6">
        <v>9000</v>
      </c>
      <c r="J5" s="7">
        <v>0.05</v>
      </c>
      <c r="K5" s="6">
        <v>17100</v>
      </c>
      <c r="L5" s="6">
        <v>13408.626676678479</v>
      </c>
      <c r="M5" s="6">
        <v>3691.3733233215171</v>
      </c>
      <c r="N5" s="4" t="s">
        <v>65</v>
      </c>
      <c r="O5" s="4" t="s">
        <v>55</v>
      </c>
    </row>
    <row r="6" spans="1:15" x14ac:dyDescent="0.25">
      <c r="A6" s="4" t="s">
        <v>71</v>
      </c>
      <c r="B6" s="5">
        <v>45843</v>
      </c>
      <c r="C6" s="4" t="s">
        <v>49</v>
      </c>
      <c r="D6" s="4" t="s">
        <v>72</v>
      </c>
      <c r="E6" s="4" t="s">
        <v>57</v>
      </c>
      <c r="F6" s="4" t="s">
        <v>58</v>
      </c>
      <c r="G6" s="4" t="s">
        <v>73</v>
      </c>
      <c r="H6" s="4">
        <v>14</v>
      </c>
      <c r="I6" s="6">
        <v>1800</v>
      </c>
      <c r="J6" s="7">
        <v>0.15</v>
      </c>
      <c r="K6" s="6">
        <v>21420</v>
      </c>
      <c r="L6" s="6">
        <v>18992.078331041728</v>
      </c>
      <c r="M6" s="6">
        <v>2427.9216689582681</v>
      </c>
      <c r="N6" s="4" t="s">
        <v>54</v>
      </c>
      <c r="O6" s="4" t="s">
        <v>74</v>
      </c>
    </row>
    <row r="7" spans="1:15" x14ac:dyDescent="0.25">
      <c r="A7" s="4" t="s">
        <v>75</v>
      </c>
      <c r="B7" s="5">
        <v>45852</v>
      </c>
      <c r="C7" s="4" t="s">
        <v>49</v>
      </c>
      <c r="D7" s="4" t="s">
        <v>76</v>
      </c>
      <c r="E7" s="4" t="s">
        <v>63</v>
      </c>
      <c r="F7" s="4" t="s">
        <v>77</v>
      </c>
      <c r="G7" s="4" t="s">
        <v>78</v>
      </c>
      <c r="H7" s="4">
        <v>2</v>
      </c>
      <c r="I7" s="6">
        <v>6500</v>
      </c>
      <c r="J7" s="7">
        <v>0</v>
      </c>
      <c r="K7" s="6">
        <v>13000</v>
      </c>
      <c r="L7" s="6">
        <v>9740.7861635982554</v>
      </c>
      <c r="M7" s="6">
        <v>3259.2138364017451</v>
      </c>
      <c r="N7" s="4" t="s">
        <v>79</v>
      </c>
      <c r="O7" s="4" t="s">
        <v>80</v>
      </c>
    </row>
    <row r="8" spans="1:15" x14ac:dyDescent="0.25">
      <c r="A8" s="4" t="s">
        <v>81</v>
      </c>
      <c r="B8" s="5">
        <v>46007</v>
      </c>
      <c r="C8" s="4" t="s">
        <v>61</v>
      </c>
      <c r="D8" s="4" t="s">
        <v>62</v>
      </c>
      <c r="E8" s="4" t="s">
        <v>51</v>
      </c>
      <c r="F8" s="4" t="s">
        <v>52</v>
      </c>
      <c r="G8" s="4" t="s">
        <v>53</v>
      </c>
      <c r="H8" s="4">
        <v>11</v>
      </c>
      <c r="I8" s="6">
        <v>250</v>
      </c>
      <c r="J8" s="7">
        <v>0.05</v>
      </c>
      <c r="K8" s="6">
        <v>2612.5</v>
      </c>
      <c r="L8" s="6">
        <v>1956.4013482625339</v>
      </c>
      <c r="M8" s="6">
        <v>656.0986517374663</v>
      </c>
      <c r="N8" s="4" t="s">
        <v>54</v>
      </c>
      <c r="O8" s="4" t="s">
        <v>66</v>
      </c>
    </row>
    <row r="9" spans="1:15" x14ac:dyDescent="0.25">
      <c r="A9" s="4" t="s">
        <v>82</v>
      </c>
      <c r="B9" s="5">
        <v>45824</v>
      </c>
      <c r="C9" s="4" t="s">
        <v>61</v>
      </c>
      <c r="D9" s="4" t="s">
        <v>83</v>
      </c>
      <c r="E9" s="4" t="s">
        <v>84</v>
      </c>
      <c r="F9" s="4" t="s">
        <v>85</v>
      </c>
      <c r="G9" s="4" t="s">
        <v>86</v>
      </c>
      <c r="H9" s="4">
        <v>5</v>
      </c>
      <c r="I9" s="6">
        <v>1200</v>
      </c>
      <c r="J9" s="7">
        <v>0.15</v>
      </c>
      <c r="K9" s="6">
        <v>5100</v>
      </c>
      <c r="L9" s="6">
        <v>3603.068940078972</v>
      </c>
      <c r="M9" s="6">
        <v>1496.931059921028</v>
      </c>
      <c r="N9" s="4" t="s">
        <v>65</v>
      </c>
      <c r="O9" s="4" t="s">
        <v>74</v>
      </c>
    </row>
    <row r="10" spans="1:15" x14ac:dyDescent="0.25">
      <c r="A10" s="4" t="s">
        <v>87</v>
      </c>
      <c r="B10" s="5">
        <v>45819</v>
      </c>
      <c r="C10" s="4" t="s">
        <v>68</v>
      </c>
      <c r="D10" s="4" t="s">
        <v>88</v>
      </c>
      <c r="E10" s="4" t="s">
        <v>57</v>
      </c>
      <c r="F10" s="4" t="s">
        <v>52</v>
      </c>
      <c r="G10" s="4" t="s">
        <v>64</v>
      </c>
      <c r="H10" s="4">
        <v>4</v>
      </c>
      <c r="I10" s="6">
        <v>120</v>
      </c>
      <c r="J10" s="7">
        <v>0.15</v>
      </c>
      <c r="K10" s="6">
        <v>408</v>
      </c>
      <c r="L10" s="6">
        <v>360.75098596258272</v>
      </c>
      <c r="M10" s="6">
        <v>47.249014037417339</v>
      </c>
      <c r="N10" s="4" t="s">
        <v>54</v>
      </c>
      <c r="O10" s="4" t="s">
        <v>55</v>
      </c>
    </row>
    <row r="11" spans="1:15" x14ac:dyDescent="0.25">
      <c r="A11" s="4" t="s">
        <v>89</v>
      </c>
      <c r="B11" s="5">
        <v>45945</v>
      </c>
      <c r="C11" s="4" t="s">
        <v>90</v>
      </c>
      <c r="D11" s="4" t="s">
        <v>91</v>
      </c>
      <c r="E11" s="4" t="s">
        <v>63</v>
      </c>
      <c r="F11" s="4" t="s">
        <v>85</v>
      </c>
      <c r="G11" s="4" t="s">
        <v>92</v>
      </c>
      <c r="H11" s="4">
        <v>5</v>
      </c>
      <c r="I11" s="6">
        <v>2200</v>
      </c>
      <c r="J11" s="7">
        <v>0</v>
      </c>
      <c r="K11" s="6">
        <v>11000</v>
      </c>
      <c r="L11" s="6">
        <v>6673.9675944657783</v>
      </c>
      <c r="M11" s="6">
        <v>4326.0324055342217</v>
      </c>
      <c r="N11" s="4" t="s">
        <v>54</v>
      </c>
      <c r="O11" s="4" t="s">
        <v>55</v>
      </c>
    </row>
    <row r="12" spans="1:15" x14ac:dyDescent="0.25">
      <c r="A12" s="4" t="s">
        <v>93</v>
      </c>
      <c r="B12" s="5">
        <v>45682</v>
      </c>
      <c r="C12" s="4" t="s">
        <v>90</v>
      </c>
      <c r="D12" s="4" t="s">
        <v>94</v>
      </c>
      <c r="E12" s="4" t="s">
        <v>51</v>
      </c>
      <c r="F12" s="4" t="s">
        <v>77</v>
      </c>
      <c r="G12" s="4" t="s">
        <v>95</v>
      </c>
      <c r="H12" s="4">
        <v>9</v>
      </c>
      <c r="I12" s="6">
        <v>11000</v>
      </c>
      <c r="J12" s="7">
        <v>0.1</v>
      </c>
      <c r="K12" s="6">
        <v>89100</v>
      </c>
      <c r="L12" s="6">
        <v>56520.007315197297</v>
      </c>
      <c r="M12" s="6">
        <v>32579.992684802699</v>
      </c>
      <c r="N12" s="4" t="s">
        <v>65</v>
      </c>
      <c r="O12" s="4" t="s">
        <v>66</v>
      </c>
    </row>
    <row r="13" spans="1:15" x14ac:dyDescent="0.25">
      <c r="A13" s="4" t="s">
        <v>96</v>
      </c>
      <c r="B13" s="5">
        <v>45928</v>
      </c>
      <c r="C13" s="4" t="s">
        <v>90</v>
      </c>
      <c r="D13" s="4" t="s">
        <v>91</v>
      </c>
      <c r="E13" s="4" t="s">
        <v>63</v>
      </c>
      <c r="F13" s="4" t="s">
        <v>58</v>
      </c>
      <c r="G13" s="4" t="s">
        <v>70</v>
      </c>
      <c r="H13" s="4">
        <v>7</v>
      </c>
      <c r="I13" s="6">
        <v>9000</v>
      </c>
      <c r="J13" s="7">
        <v>0.15</v>
      </c>
      <c r="K13" s="6">
        <v>53550</v>
      </c>
      <c r="L13" s="6">
        <v>49083.798799679003</v>
      </c>
      <c r="M13" s="6">
        <v>4466.2012003209966</v>
      </c>
      <c r="N13" s="4" t="s">
        <v>54</v>
      </c>
      <c r="O13" s="4" t="s">
        <v>74</v>
      </c>
    </row>
    <row r="14" spans="1:15" x14ac:dyDescent="0.25">
      <c r="A14" s="4" t="s">
        <v>97</v>
      </c>
      <c r="B14" s="5">
        <v>45890</v>
      </c>
      <c r="C14" s="4" t="s">
        <v>49</v>
      </c>
      <c r="D14" s="4" t="s">
        <v>76</v>
      </c>
      <c r="E14" s="4" t="s">
        <v>84</v>
      </c>
      <c r="F14" s="4" t="s">
        <v>52</v>
      </c>
      <c r="G14" s="4" t="s">
        <v>98</v>
      </c>
      <c r="H14" s="4">
        <v>2</v>
      </c>
      <c r="I14" s="6">
        <v>80</v>
      </c>
      <c r="J14" s="7">
        <v>0.05</v>
      </c>
      <c r="K14" s="6">
        <v>152</v>
      </c>
      <c r="L14" s="6">
        <v>103.9993612246231</v>
      </c>
      <c r="M14" s="6">
        <v>48.000638775376927</v>
      </c>
      <c r="N14" s="4" t="s">
        <v>54</v>
      </c>
      <c r="O14" s="4" t="s">
        <v>80</v>
      </c>
    </row>
    <row r="15" spans="1:15" x14ac:dyDescent="0.25">
      <c r="A15" s="4" t="s">
        <v>99</v>
      </c>
      <c r="B15" s="5">
        <v>45736</v>
      </c>
      <c r="C15" s="4" t="s">
        <v>61</v>
      </c>
      <c r="D15" s="4" t="s">
        <v>100</v>
      </c>
      <c r="E15" s="4" t="s">
        <v>101</v>
      </c>
      <c r="F15" s="4" t="s">
        <v>58</v>
      </c>
      <c r="G15" s="4" t="s">
        <v>73</v>
      </c>
      <c r="H15" s="4">
        <v>14</v>
      </c>
      <c r="I15" s="6">
        <v>1800</v>
      </c>
      <c r="J15" s="7">
        <v>0.15</v>
      </c>
      <c r="K15" s="6">
        <v>21420</v>
      </c>
      <c r="L15" s="6">
        <v>17389.59134549565</v>
      </c>
      <c r="M15" s="6">
        <v>4030.4086545043542</v>
      </c>
      <c r="N15" s="4" t="s">
        <v>65</v>
      </c>
      <c r="O15" s="4" t="s">
        <v>74</v>
      </c>
    </row>
    <row r="16" spans="1:15" x14ac:dyDescent="0.25">
      <c r="A16" s="4" t="s">
        <v>102</v>
      </c>
      <c r="B16" s="5">
        <v>45815</v>
      </c>
      <c r="C16" s="4" t="s">
        <v>68</v>
      </c>
      <c r="D16" s="4" t="s">
        <v>88</v>
      </c>
      <c r="E16" s="4" t="s">
        <v>57</v>
      </c>
      <c r="F16" s="4" t="s">
        <v>58</v>
      </c>
      <c r="G16" s="4" t="s">
        <v>103</v>
      </c>
      <c r="H16" s="4">
        <v>15</v>
      </c>
      <c r="I16" s="6">
        <v>55000</v>
      </c>
      <c r="J16" s="7">
        <v>0.05</v>
      </c>
      <c r="K16" s="6">
        <v>783750</v>
      </c>
      <c r="L16" s="6">
        <v>620487.47631694924</v>
      </c>
      <c r="M16" s="6">
        <v>163262.52368305079</v>
      </c>
      <c r="N16" s="4" t="s">
        <v>65</v>
      </c>
      <c r="O16" s="4" t="s">
        <v>66</v>
      </c>
    </row>
    <row r="17" spans="1:15" x14ac:dyDescent="0.25">
      <c r="A17" s="4" t="s">
        <v>104</v>
      </c>
      <c r="B17" s="5">
        <v>45723</v>
      </c>
      <c r="C17" s="4" t="s">
        <v>49</v>
      </c>
      <c r="D17" s="4" t="s">
        <v>50</v>
      </c>
      <c r="E17" s="4" t="s">
        <v>105</v>
      </c>
      <c r="F17" s="4" t="s">
        <v>85</v>
      </c>
      <c r="G17" s="4" t="s">
        <v>106</v>
      </c>
      <c r="H17" s="4">
        <v>13</v>
      </c>
      <c r="I17" s="6">
        <v>900</v>
      </c>
      <c r="J17" s="7">
        <v>0.15</v>
      </c>
      <c r="K17" s="6">
        <v>9945</v>
      </c>
      <c r="L17" s="6">
        <v>8495.8604492651048</v>
      </c>
      <c r="M17" s="6">
        <v>1449.139550734895</v>
      </c>
      <c r="N17" s="4" t="s">
        <v>54</v>
      </c>
      <c r="O17" s="4" t="s">
        <v>66</v>
      </c>
    </row>
    <row r="18" spans="1:15" x14ac:dyDescent="0.25">
      <c r="A18" s="4" t="s">
        <v>107</v>
      </c>
      <c r="B18" s="5">
        <v>46011</v>
      </c>
      <c r="C18" s="4" t="s">
        <v>68</v>
      </c>
      <c r="D18" s="4" t="s">
        <v>108</v>
      </c>
      <c r="E18" s="4" t="s">
        <v>57</v>
      </c>
      <c r="F18" s="4" t="s">
        <v>85</v>
      </c>
      <c r="G18" s="4" t="s">
        <v>92</v>
      </c>
      <c r="H18" s="4">
        <v>15</v>
      </c>
      <c r="I18" s="6">
        <v>2200</v>
      </c>
      <c r="J18" s="7">
        <v>0.15</v>
      </c>
      <c r="K18" s="6">
        <v>28050</v>
      </c>
      <c r="L18" s="6">
        <v>23882.46284246576</v>
      </c>
      <c r="M18" s="6">
        <v>4167.537157534236</v>
      </c>
      <c r="N18" s="4" t="s">
        <v>54</v>
      </c>
      <c r="O18" s="4" t="s">
        <v>80</v>
      </c>
    </row>
    <row r="19" spans="1:15" x14ac:dyDescent="0.25">
      <c r="A19" s="4" t="s">
        <v>109</v>
      </c>
      <c r="B19" s="5">
        <v>45784</v>
      </c>
      <c r="C19" s="4" t="s">
        <v>90</v>
      </c>
      <c r="D19" s="4" t="s">
        <v>91</v>
      </c>
      <c r="E19" s="4" t="s">
        <v>57</v>
      </c>
      <c r="F19" s="4" t="s">
        <v>52</v>
      </c>
      <c r="G19" s="4" t="s">
        <v>110</v>
      </c>
      <c r="H19" s="4">
        <v>15</v>
      </c>
      <c r="I19" s="6">
        <v>180</v>
      </c>
      <c r="J19" s="7">
        <v>0.15</v>
      </c>
      <c r="K19" s="6">
        <v>2295</v>
      </c>
      <c r="L19" s="6">
        <v>1765.3728938038921</v>
      </c>
      <c r="M19" s="6">
        <v>529.62710619610834</v>
      </c>
      <c r="N19" s="4" t="s">
        <v>65</v>
      </c>
      <c r="O19" s="4" t="s">
        <v>80</v>
      </c>
    </row>
    <row r="20" spans="1:15" x14ac:dyDescent="0.25">
      <c r="A20" s="4" t="s">
        <v>111</v>
      </c>
      <c r="B20" s="5">
        <v>45688</v>
      </c>
      <c r="C20" s="4" t="s">
        <v>49</v>
      </c>
      <c r="D20" s="4" t="s">
        <v>76</v>
      </c>
      <c r="E20" s="4" t="s">
        <v>57</v>
      </c>
      <c r="F20" s="4" t="s">
        <v>77</v>
      </c>
      <c r="G20" s="4" t="s">
        <v>95</v>
      </c>
      <c r="H20" s="4">
        <v>1</v>
      </c>
      <c r="I20" s="6">
        <v>11000</v>
      </c>
      <c r="J20" s="7">
        <v>0</v>
      </c>
      <c r="K20" s="6">
        <v>11000</v>
      </c>
      <c r="L20" s="6">
        <v>7840.8375947675886</v>
      </c>
      <c r="M20" s="6">
        <v>3159.1624052324109</v>
      </c>
      <c r="N20" s="4" t="s">
        <v>65</v>
      </c>
      <c r="O20" s="4" t="s">
        <v>74</v>
      </c>
    </row>
    <row r="21" spans="1:15" x14ac:dyDescent="0.25">
      <c r="A21" s="4" t="s">
        <v>112</v>
      </c>
      <c r="B21" s="5">
        <v>45725</v>
      </c>
      <c r="C21" s="4" t="s">
        <v>68</v>
      </c>
      <c r="D21" s="4" t="s">
        <v>69</v>
      </c>
      <c r="E21" s="4" t="s">
        <v>105</v>
      </c>
      <c r="F21" s="4" t="s">
        <v>77</v>
      </c>
      <c r="G21" s="4" t="s">
        <v>78</v>
      </c>
      <c r="H21" s="4">
        <v>11</v>
      </c>
      <c r="I21" s="6">
        <v>6500</v>
      </c>
      <c r="J21" s="7">
        <v>0.1</v>
      </c>
      <c r="K21" s="6">
        <v>64350</v>
      </c>
      <c r="L21" s="6">
        <v>42848.124297206858</v>
      </c>
      <c r="M21" s="6">
        <v>21501.875702793139</v>
      </c>
      <c r="N21" s="4" t="s">
        <v>65</v>
      </c>
      <c r="O21" s="4" t="s">
        <v>55</v>
      </c>
    </row>
    <row r="22" spans="1:15" x14ac:dyDescent="0.25">
      <c r="A22" s="4" t="s">
        <v>113</v>
      </c>
      <c r="B22" s="5">
        <v>45868</v>
      </c>
      <c r="C22" s="4" t="s">
        <v>90</v>
      </c>
      <c r="D22" s="4" t="s">
        <v>114</v>
      </c>
      <c r="E22" s="4" t="s">
        <v>105</v>
      </c>
      <c r="F22" s="4" t="s">
        <v>58</v>
      </c>
      <c r="G22" s="4" t="s">
        <v>103</v>
      </c>
      <c r="H22" s="4">
        <v>11</v>
      </c>
      <c r="I22" s="6">
        <v>55000</v>
      </c>
      <c r="J22" s="7">
        <v>0.1</v>
      </c>
      <c r="K22" s="6">
        <v>544500</v>
      </c>
      <c r="L22" s="6">
        <v>382050.50639093638</v>
      </c>
      <c r="M22" s="6">
        <v>162449.49360906359</v>
      </c>
      <c r="N22" s="4" t="s">
        <v>54</v>
      </c>
      <c r="O22" s="4" t="s">
        <v>74</v>
      </c>
    </row>
    <row r="23" spans="1:15" x14ac:dyDescent="0.25">
      <c r="A23" s="4" t="s">
        <v>115</v>
      </c>
      <c r="B23" s="5">
        <v>45755</v>
      </c>
      <c r="C23" s="4" t="s">
        <v>49</v>
      </c>
      <c r="D23" s="4" t="s">
        <v>50</v>
      </c>
      <c r="E23" s="4" t="s">
        <v>105</v>
      </c>
      <c r="F23" s="4" t="s">
        <v>85</v>
      </c>
      <c r="G23" s="4" t="s">
        <v>116</v>
      </c>
      <c r="H23" s="4">
        <v>13</v>
      </c>
      <c r="I23" s="6">
        <v>3000</v>
      </c>
      <c r="J23" s="7">
        <v>0</v>
      </c>
      <c r="K23" s="6">
        <v>39000</v>
      </c>
      <c r="L23" s="6">
        <v>23680.44731526497</v>
      </c>
      <c r="M23" s="6">
        <v>15319.55268473503</v>
      </c>
      <c r="N23" s="4" t="s">
        <v>65</v>
      </c>
      <c r="O23" s="4" t="s">
        <v>55</v>
      </c>
    </row>
    <row r="24" spans="1:15" x14ac:dyDescent="0.25">
      <c r="A24" s="4" t="s">
        <v>117</v>
      </c>
      <c r="B24" s="5">
        <v>45939</v>
      </c>
      <c r="C24" s="4" t="s">
        <v>61</v>
      </c>
      <c r="D24" s="4" t="s">
        <v>62</v>
      </c>
      <c r="E24" s="4" t="s">
        <v>51</v>
      </c>
      <c r="F24" s="4" t="s">
        <v>85</v>
      </c>
      <c r="G24" s="4" t="s">
        <v>92</v>
      </c>
      <c r="H24" s="4">
        <v>14</v>
      </c>
      <c r="I24" s="6">
        <v>2200</v>
      </c>
      <c r="J24" s="7">
        <v>0</v>
      </c>
      <c r="K24" s="6">
        <v>30800</v>
      </c>
      <c r="L24" s="6">
        <v>20079.138197958691</v>
      </c>
      <c r="M24" s="6">
        <v>10720.861802041311</v>
      </c>
      <c r="N24" s="4" t="s">
        <v>65</v>
      </c>
      <c r="O24" s="4" t="s">
        <v>74</v>
      </c>
    </row>
    <row r="25" spans="1:15" x14ac:dyDescent="0.25">
      <c r="A25" s="4" t="s">
        <v>118</v>
      </c>
      <c r="B25" s="5">
        <v>45863</v>
      </c>
      <c r="C25" s="4" t="s">
        <v>49</v>
      </c>
      <c r="D25" s="4" t="s">
        <v>50</v>
      </c>
      <c r="E25" s="4" t="s">
        <v>84</v>
      </c>
      <c r="F25" s="4" t="s">
        <v>77</v>
      </c>
      <c r="G25" s="4" t="s">
        <v>119</v>
      </c>
      <c r="H25" s="4">
        <v>8</v>
      </c>
      <c r="I25" s="6">
        <v>8000</v>
      </c>
      <c r="J25" s="7">
        <v>0.1</v>
      </c>
      <c r="K25" s="6">
        <v>57600</v>
      </c>
      <c r="L25" s="6">
        <v>38346.360244211959</v>
      </c>
      <c r="M25" s="6">
        <v>19253.639755788041</v>
      </c>
      <c r="N25" s="4" t="s">
        <v>65</v>
      </c>
      <c r="O25" s="4" t="s">
        <v>55</v>
      </c>
    </row>
    <row r="26" spans="1:15" x14ac:dyDescent="0.25">
      <c r="A26" s="4" t="s">
        <v>120</v>
      </c>
      <c r="B26" s="5">
        <v>45942</v>
      </c>
      <c r="C26" s="4" t="s">
        <v>49</v>
      </c>
      <c r="D26" s="4" t="s">
        <v>72</v>
      </c>
      <c r="E26" s="4" t="s">
        <v>105</v>
      </c>
      <c r="F26" s="4" t="s">
        <v>52</v>
      </c>
      <c r="G26" s="4" t="s">
        <v>110</v>
      </c>
      <c r="H26" s="4">
        <v>5</v>
      </c>
      <c r="I26" s="6">
        <v>180</v>
      </c>
      <c r="J26" s="7">
        <v>0.1</v>
      </c>
      <c r="K26" s="6">
        <v>810</v>
      </c>
      <c r="L26" s="6">
        <v>639.19444124523375</v>
      </c>
      <c r="M26" s="6">
        <v>170.80555875476631</v>
      </c>
      <c r="N26" s="4" t="s">
        <v>65</v>
      </c>
      <c r="O26" s="4" t="s">
        <v>66</v>
      </c>
    </row>
    <row r="27" spans="1:15" x14ac:dyDescent="0.25">
      <c r="A27" s="4" t="s">
        <v>121</v>
      </c>
      <c r="B27" s="5">
        <v>45957</v>
      </c>
      <c r="C27" s="4" t="s">
        <v>68</v>
      </c>
      <c r="D27" s="4" t="s">
        <v>69</v>
      </c>
      <c r="E27" s="4" t="s">
        <v>105</v>
      </c>
      <c r="F27" s="4" t="s">
        <v>58</v>
      </c>
      <c r="G27" s="4" t="s">
        <v>103</v>
      </c>
      <c r="H27" s="4">
        <v>12</v>
      </c>
      <c r="I27" s="6">
        <v>55000</v>
      </c>
      <c r="J27" s="7">
        <v>0.05</v>
      </c>
      <c r="K27" s="6">
        <v>627000</v>
      </c>
      <c r="L27" s="6">
        <v>371677.68842735601</v>
      </c>
      <c r="M27" s="6">
        <v>255322.31157264399</v>
      </c>
      <c r="N27" s="4" t="s">
        <v>54</v>
      </c>
      <c r="O27" s="4" t="s">
        <v>66</v>
      </c>
    </row>
    <row r="28" spans="1:15" x14ac:dyDescent="0.25">
      <c r="A28" s="4" t="s">
        <v>122</v>
      </c>
      <c r="B28" s="5">
        <v>45778</v>
      </c>
      <c r="C28" s="4" t="s">
        <v>49</v>
      </c>
      <c r="D28" s="4" t="s">
        <v>76</v>
      </c>
      <c r="E28" s="4" t="s">
        <v>123</v>
      </c>
      <c r="F28" s="4" t="s">
        <v>58</v>
      </c>
      <c r="G28" s="4" t="s">
        <v>59</v>
      </c>
      <c r="H28" s="4">
        <v>2</v>
      </c>
      <c r="I28" s="6">
        <v>12000</v>
      </c>
      <c r="J28" s="7">
        <v>0.15</v>
      </c>
      <c r="K28" s="6">
        <v>20400</v>
      </c>
      <c r="L28" s="6">
        <v>13575.143965834181</v>
      </c>
      <c r="M28" s="6">
        <v>6824.8560341658194</v>
      </c>
      <c r="N28" s="4" t="s">
        <v>65</v>
      </c>
      <c r="O28" s="4" t="s">
        <v>66</v>
      </c>
    </row>
    <row r="29" spans="1:15" x14ac:dyDescent="0.25">
      <c r="A29" s="4" t="s">
        <v>124</v>
      </c>
      <c r="B29" s="5">
        <v>45819</v>
      </c>
      <c r="C29" s="4" t="s">
        <v>49</v>
      </c>
      <c r="D29" s="4" t="s">
        <v>76</v>
      </c>
      <c r="E29" s="4" t="s">
        <v>63</v>
      </c>
      <c r="F29" s="4" t="s">
        <v>58</v>
      </c>
      <c r="G29" s="4" t="s">
        <v>70</v>
      </c>
      <c r="H29" s="4">
        <v>11</v>
      </c>
      <c r="I29" s="6">
        <v>9000</v>
      </c>
      <c r="J29" s="7">
        <v>0.15</v>
      </c>
      <c r="K29" s="6">
        <v>84150</v>
      </c>
      <c r="L29" s="6">
        <v>67320.217055929927</v>
      </c>
      <c r="M29" s="6">
        <v>16829.78294407007</v>
      </c>
      <c r="N29" s="4" t="s">
        <v>65</v>
      </c>
      <c r="O29" s="4" t="s">
        <v>80</v>
      </c>
    </row>
    <row r="30" spans="1:15" x14ac:dyDescent="0.25">
      <c r="A30" s="4" t="s">
        <v>125</v>
      </c>
      <c r="B30" s="5">
        <v>45695</v>
      </c>
      <c r="C30" s="4" t="s">
        <v>61</v>
      </c>
      <c r="D30" s="4" t="s">
        <v>62</v>
      </c>
      <c r="E30" s="4" t="s">
        <v>84</v>
      </c>
      <c r="F30" s="4" t="s">
        <v>85</v>
      </c>
      <c r="G30" s="4" t="s">
        <v>92</v>
      </c>
      <c r="H30" s="4">
        <v>11</v>
      </c>
      <c r="I30" s="6">
        <v>2200</v>
      </c>
      <c r="J30" s="7">
        <v>0.05</v>
      </c>
      <c r="K30" s="6">
        <v>22990</v>
      </c>
      <c r="L30" s="6">
        <v>15854.91197092714</v>
      </c>
      <c r="M30" s="6">
        <v>7135.0880290728637</v>
      </c>
      <c r="N30" s="4" t="s">
        <v>79</v>
      </c>
      <c r="O30" s="4" t="s">
        <v>74</v>
      </c>
    </row>
    <row r="31" spans="1:15" x14ac:dyDescent="0.25">
      <c r="A31" s="4" t="s">
        <v>126</v>
      </c>
      <c r="B31" s="5">
        <v>45783</v>
      </c>
      <c r="C31" s="4" t="s">
        <v>49</v>
      </c>
      <c r="D31" s="4" t="s">
        <v>76</v>
      </c>
      <c r="E31" s="4" t="s">
        <v>101</v>
      </c>
      <c r="F31" s="4" t="s">
        <v>77</v>
      </c>
      <c r="G31" s="4" t="s">
        <v>78</v>
      </c>
      <c r="H31" s="4">
        <v>3</v>
      </c>
      <c r="I31" s="6">
        <v>6500</v>
      </c>
      <c r="J31" s="7">
        <v>0.05</v>
      </c>
      <c r="K31" s="6">
        <v>18525</v>
      </c>
      <c r="L31" s="6">
        <v>14675.67581898368</v>
      </c>
      <c r="M31" s="6">
        <v>3849.3241810163181</v>
      </c>
      <c r="N31" s="4" t="s">
        <v>79</v>
      </c>
      <c r="O31" s="4" t="s">
        <v>66</v>
      </c>
    </row>
    <row r="32" spans="1:15" x14ac:dyDescent="0.25">
      <c r="A32" s="4" t="s">
        <v>127</v>
      </c>
      <c r="B32" s="5">
        <v>45997</v>
      </c>
      <c r="C32" s="4" t="s">
        <v>90</v>
      </c>
      <c r="D32" s="4" t="s">
        <v>91</v>
      </c>
      <c r="E32" s="4" t="s">
        <v>51</v>
      </c>
      <c r="F32" s="4" t="s">
        <v>52</v>
      </c>
      <c r="G32" s="4" t="s">
        <v>64</v>
      </c>
      <c r="H32" s="4">
        <v>11</v>
      </c>
      <c r="I32" s="6">
        <v>120</v>
      </c>
      <c r="J32" s="7">
        <v>0.15</v>
      </c>
      <c r="K32" s="6">
        <v>1122</v>
      </c>
      <c r="L32" s="6">
        <v>816.89138916791342</v>
      </c>
      <c r="M32" s="6">
        <v>305.10861083208658</v>
      </c>
      <c r="N32" s="4" t="s">
        <v>65</v>
      </c>
      <c r="O32" s="4" t="s">
        <v>80</v>
      </c>
    </row>
    <row r="33" spans="1:15" x14ac:dyDescent="0.25">
      <c r="A33" s="4" t="s">
        <v>128</v>
      </c>
      <c r="B33" s="5">
        <v>45833</v>
      </c>
      <c r="C33" s="4" t="s">
        <v>49</v>
      </c>
      <c r="D33" s="4" t="s">
        <v>50</v>
      </c>
      <c r="E33" s="4" t="s">
        <v>57</v>
      </c>
      <c r="F33" s="4" t="s">
        <v>77</v>
      </c>
      <c r="G33" s="4" t="s">
        <v>78</v>
      </c>
      <c r="H33" s="4">
        <v>5</v>
      </c>
      <c r="I33" s="6">
        <v>6500</v>
      </c>
      <c r="J33" s="7">
        <v>0.15</v>
      </c>
      <c r="K33" s="6">
        <v>27625</v>
      </c>
      <c r="L33" s="6">
        <v>19449.456669681898</v>
      </c>
      <c r="M33" s="6">
        <v>8175.5433303181017</v>
      </c>
      <c r="N33" s="4" t="s">
        <v>54</v>
      </c>
      <c r="O33" s="4" t="s">
        <v>80</v>
      </c>
    </row>
    <row r="34" spans="1:15" x14ac:dyDescent="0.25">
      <c r="A34" s="4" t="s">
        <v>129</v>
      </c>
      <c r="B34" s="5">
        <v>45680</v>
      </c>
      <c r="C34" s="4" t="s">
        <v>90</v>
      </c>
      <c r="D34" s="4" t="s">
        <v>94</v>
      </c>
      <c r="E34" s="4" t="s">
        <v>84</v>
      </c>
      <c r="F34" s="4" t="s">
        <v>58</v>
      </c>
      <c r="G34" s="4" t="s">
        <v>103</v>
      </c>
      <c r="H34" s="4">
        <v>11</v>
      </c>
      <c r="I34" s="6">
        <v>55000</v>
      </c>
      <c r="J34" s="7">
        <v>0.1</v>
      </c>
      <c r="K34" s="6">
        <v>544500</v>
      </c>
      <c r="L34" s="6">
        <v>448153.78663614427</v>
      </c>
      <c r="M34" s="6">
        <v>96346.21336385567</v>
      </c>
      <c r="N34" s="4" t="s">
        <v>79</v>
      </c>
      <c r="O34" s="4" t="s">
        <v>66</v>
      </c>
    </row>
    <row r="35" spans="1:15" x14ac:dyDescent="0.25">
      <c r="A35" s="4" t="s">
        <v>130</v>
      </c>
      <c r="B35" s="5">
        <v>46011</v>
      </c>
      <c r="C35" s="4" t="s">
        <v>68</v>
      </c>
      <c r="D35" s="4" t="s">
        <v>69</v>
      </c>
      <c r="E35" s="4" t="s">
        <v>131</v>
      </c>
      <c r="F35" s="4" t="s">
        <v>85</v>
      </c>
      <c r="G35" s="4" t="s">
        <v>86</v>
      </c>
      <c r="H35" s="4">
        <v>9</v>
      </c>
      <c r="I35" s="6">
        <v>1200</v>
      </c>
      <c r="J35" s="7">
        <v>0</v>
      </c>
      <c r="K35" s="6">
        <v>10800</v>
      </c>
      <c r="L35" s="6">
        <v>6217.8947193839094</v>
      </c>
      <c r="M35" s="6">
        <v>4582.1052806160906</v>
      </c>
      <c r="N35" s="4" t="s">
        <v>54</v>
      </c>
      <c r="O35" s="4" t="s">
        <v>74</v>
      </c>
    </row>
    <row r="36" spans="1:15" x14ac:dyDescent="0.25">
      <c r="A36" s="4" t="s">
        <v>132</v>
      </c>
      <c r="B36" s="5">
        <v>45678</v>
      </c>
      <c r="C36" s="4" t="s">
        <v>68</v>
      </c>
      <c r="D36" s="4" t="s">
        <v>108</v>
      </c>
      <c r="E36" s="4" t="s">
        <v>101</v>
      </c>
      <c r="F36" s="4" t="s">
        <v>77</v>
      </c>
      <c r="G36" s="4" t="s">
        <v>119</v>
      </c>
      <c r="H36" s="4">
        <v>3</v>
      </c>
      <c r="I36" s="6">
        <v>8000</v>
      </c>
      <c r="J36" s="7">
        <v>0</v>
      </c>
      <c r="K36" s="6">
        <v>24000</v>
      </c>
      <c r="L36" s="6">
        <v>14901.586091614339</v>
      </c>
      <c r="M36" s="6">
        <v>9098.4139083856608</v>
      </c>
      <c r="N36" s="4" t="s">
        <v>65</v>
      </c>
      <c r="O36" s="4" t="s">
        <v>66</v>
      </c>
    </row>
    <row r="37" spans="1:15" x14ac:dyDescent="0.25">
      <c r="A37" s="4" t="s">
        <v>133</v>
      </c>
      <c r="B37" s="5">
        <v>45748</v>
      </c>
      <c r="C37" s="4" t="s">
        <v>49</v>
      </c>
      <c r="D37" s="4" t="s">
        <v>72</v>
      </c>
      <c r="E37" s="4" t="s">
        <v>123</v>
      </c>
      <c r="F37" s="4" t="s">
        <v>85</v>
      </c>
      <c r="G37" s="4" t="s">
        <v>92</v>
      </c>
      <c r="H37" s="4">
        <v>15</v>
      </c>
      <c r="I37" s="6">
        <v>2200</v>
      </c>
      <c r="J37" s="7">
        <v>0</v>
      </c>
      <c r="K37" s="6">
        <v>33000</v>
      </c>
      <c r="L37" s="6">
        <v>24712.357234309529</v>
      </c>
      <c r="M37" s="6">
        <v>8287.6427656904743</v>
      </c>
      <c r="N37" s="4" t="s">
        <v>65</v>
      </c>
      <c r="O37" s="4" t="s">
        <v>66</v>
      </c>
    </row>
    <row r="38" spans="1:15" x14ac:dyDescent="0.25">
      <c r="A38" s="4" t="s">
        <v>134</v>
      </c>
      <c r="B38" s="5">
        <v>45677</v>
      </c>
      <c r="C38" s="4" t="s">
        <v>68</v>
      </c>
      <c r="D38" s="4" t="s">
        <v>88</v>
      </c>
      <c r="E38" s="4" t="s">
        <v>105</v>
      </c>
      <c r="F38" s="4" t="s">
        <v>77</v>
      </c>
      <c r="G38" s="4" t="s">
        <v>78</v>
      </c>
      <c r="H38" s="4">
        <v>3</v>
      </c>
      <c r="I38" s="6">
        <v>6500</v>
      </c>
      <c r="J38" s="7">
        <v>0</v>
      </c>
      <c r="K38" s="6">
        <v>19500</v>
      </c>
      <c r="L38" s="6">
        <v>12440.69962584725</v>
      </c>
      <c r="M38" s="6">
        <v>7059.3003741527482</v>
      </c>
      <c r="N38" s="4" t="s">
        <v>65</v>
      </c>
      <c r="O38" s="4" t="s">
        <v>66</v>
      </c>
    </row>
    <row r="39" spans="1:15" x14ac:dyDescent="0.25">
      <c r="A39" s="4" t="s">
        <v>135</v>
      </c>
      <c r="B39" s="5">
        <v>45862</v>
      </c>
      <c r="C39" s="4" t="s">
        <v>90</v>
      </c>
      <c r="D39" s="4" t="s">
        <v>94</v>
      </c>
      <c r="E39" s="4" t="s">
        <v>101</v>
      </c>
      <c r="F39" s="4" t="s">
        <v>52</v>
      </c>
      <c r="G39" s="4" t="s">
        <v>53</v>
      </c>
      <c r="H39" s="4">
        <v>4</v>
      </c>
      <c r="I39" s="6">
        <v>250</v>
      </c>
      <c r="J39" s="7">
        <v>0</v>
      </c>
      <c r="K39" s="6">
        <v>1000</v>
      </c>
      <c r="L39" s="6">
        <v>701.80763203218464</v>
      </c>
      <c r="M39" s="6">
        <v>298.19236796781541</v>
      </c>
      <c r="N39" s="4" t="s">
        <v>79</v>
      </c>
      <c r="O39" s="4" t="s">
        <v>74</v>
      </c>
    </row>
    <row r="40" spans="1:15" x14ac:dyDescent="0.25">
      <c r="A40" s="4" t="s">
        <v>136</v>
      </c>
      <c r="B40" s="5">
        <v>45791</v>
      </c>
      <c r="C40" s="4" t="s">
        <v>68</v>
      </c>
      <c r="D40" s="4" t="s">
        <v>88</v>
      </c>
      <c r="E40" s="4" t="s">
        <v>131</v>
      </c>
      <c r="F40" s="4" t="s">
        <v>85</v>
      </c>
      <c r="G40" s="4" t="s">
        <v>116</v>
      </c>
      <c r="H40" s="4">
        <v>1</v>
      </c>
      <c r="I40" s="6">
        <v>3000</v>
      </c>
      <c r="J40" s="7">
        <v>0</v>
      </c>
      <c r="K40" s="6">
        <v>3000</v>
      </c>
      <c r="L40" s="6">
        <v>2255.1565039871371</v>
      </c>
      <c r="M40" s="6">
        <v>744.8434960128634</v>
      </c>
      <c r="N40" s="4" t="s">
        <v>54</v>
      </c>
      <c r="O40" s="4" t="s">
        <v>80</v>
      </c>
    </row>
    <row r="41" spans="1:15" x14ac:dyDescent="0.25">
      <c r="A41" s="4" t="s">
        <v>137</v>
      </c>
      <c r="B41" s="5">
        <v>45919</v>
      </c>
      <c r="C41" s="4" t="s">
        <v>49</v>
      </c>
      <c r="D41" s="4" t="s">
        <v>50</v>
      </c>
      <c r="E41" s="4" t="s">
        <v>51</v>
      </c>
      <c r="F41" s="4" t="s">
        <v>85</v>
      </c>
      <c r="G41" s="4" t="s">
        <v>116</v>
      </c>
      <c r="H41" s="4">
        <v>12</v>
      </c>
      <c r="I41" s="6">
        <v>3000</v>
      </c>
      <c r="J41" s="7">
        <v>0.05</v>
      </c>
      <c r="K41" s="6">
        <v>34200</v>
      </c>
      <c r="L41" s="6">
        <v>23413.34135844863</v>
      </c>
      <c r="M41" s="6">
        <v>10786.65864155137</v>
      </c>
      <c r="N41" s="4" t="s">
        <v>79</v>
      </c>
      <c r="O41" s="4" t="s">
        <v>66</v>
      </c>
    </row>
    <row r="42" spans="1:15" x14ac:dyDescent="0.25">
      <c r="A42" s="4" t="s">
        <v>138</v>
      </c>
      <c r="B42" s="5">
        <v>46001</v>
      </c>
      <c r="C42" s="4" t="s">
        <v>68</v>
      </c>
      <c r="D42" s="4" t="s">
        <v>69</v>
      </c>
      <c r="E42" s="4" t="s">
        <v>57</v>
      </c>
      <c r="F42" s="4" t="s">
        <v>85</v>
      </c>
      <c r="G42" s="4" t="s">
        <v>106</v>
      </c>
      <c r="H42" s="4">
        <v>9</v>
      </c>
      <c r="I42" s="6">
        <v>900</v>
      </c>
      <c r="J42" s="7">
        <v>0.15</v>
      </c>
      <c r="K42" s="6">
        <v>6885</v>
      </c>
      <c r="L42" s="6">
        <v>5734.6148647017644</v>
      </c>
      <c r="M42" s="6">
        <v>1150.385135298236</v>
      </c>
      <c r="N42" s="4" t="s">
        <v>79</v>
      </c>
      <c r="O42" s="4" t="s">
        <v>55</v>
      </c>
    </row>
    <row r="43" spans="1:15" x14ac:dyDescent="0.25">
      <c r="A43" s="4" t="s">
        <v>139</v>
      </c>
      <c r="B43" s="5">
        <v>45811</v>
      </c>
      <c r="C43" s="4" t="s">
        <v>49</v>
      </c>
      <c r="D43" s="4" t="s">
        <v>76</v>
      </c>
      <c r="E43" s="4" t="s">
        <v>63</v>
      </c>
      <c r="F43" s="4" t="s">
        <v>52</v>
      </c>
      <c r="G43" s="4" t="s">
        <v>98</v>
      </c>
      <c r="H43" s="4">
        <v>11</v>
      </c>
      <c r="I43" s="6">
        <v>80</v>
      </c>
      <c r="J43" s="7">
        <v>0</v>
      </c>
      <c r="K43" s="6">
        <v>880</v>
      </c>
      <c r="L43" s="6">
        <v>629.6782628340236</v>
      </c>
      <c r="M43" s="6">
        <v>250.3217371659764</v>
      </c>
      <c r="N43" s="4" t="s">
        <v>54</v>
      </c>
      <c r="O43" s="4" t="s">
        <v>55</v>
      </c>
    </row>
    <row r="44" spans="1:15" x14ac:dyDescent="0.25">
      <c r="A44" s="4" t="s">
        <v>140</v>
      </c>
      <c r="B44" s="5">
        <v>45852</v>
      </c>
      <c r="C44" s="4" t="s">
        <v>68</v>
      </c>
      <c r="D44" s="4" t="s">
        <v>88</v>
      </c>
      <c r="E44" s="4" t="s">
        <v>131</v>
      </c>
      <c r="F44" s="4" t="s">
        <v>52</v>
      </c>
      <c r="G44" s="4" t="s">
        <v>53</v>
      </c>
      <c r="H44" s="4">
        <v>4</v>
      </c>
      <c r="I44" s="6">
        <v>250</v>
      </c>
      <c r="J44" s="7">
        <v>0.1</v>
      </c>
      <c r="K44" s="6">
        <v>900</v>
      </c>
      <c r="L44" s="6">
        <v>702.93376986893747</v>
      </c>
      <c r="M44" s="6">
        <v>197.0662301310625</v>
      </c>
      <c r="N44" s="4" t="s">
        <v>54</v>
      </c>
      <c r="O44" s="4" t="s">
        <v>80</v>
      </c>
    </row>
    <row r="45" spans="1:15" x14ac:dyDescent="0.25">
      <c r="A45" s="4" t="s">
        <v>141</v>
      </c>
      <c r="B45" s="5">
        <v>45954</v>
      </c>
      <c r="C45" s="4" t="s">
        <v>90</v>
      </c>
      <c r="D45" s="4" t="s">
        <v>91</v>
      </c>
      <c r="E45" s="4" t="s">
        <v>101</v>
      </c>
      <c r="F45" s="4" t="s">
        <v>58</v>
      </c>
      <c r="G45" s="4" t="s">
        <v>73</v>
      </c>
      <c r="H45" s="4">
        <v>5</v>
      </c>
      <c r="I45" s="6">
        <v>1800</v>
      </c>
      <c r="J45" s="7">
        <v>0</v>
      </c>
      <c r="K45" s="6">
        <v>9000</v>
      </c>
      <c r="L45" s="6">
        <v>5839.8684704789584</v>
      </c>
      <c r="M45" s="6">
        <v>3160.131529521042</v>
      </c>
      <c r="N45" s="4" t="s">
        <v>79</v>
      </c>
      <c r="O45" s="4" t="s">
        <v>55</v>
      </c>
    </row>
    <row r="46" spans="1:15" x14ac:dyDescent="0.25">
      <c r="A46" s="4" t="s">
        <v>142</v>
      </c>
      <c r="B46" s="5">
        <v>45803</v>
      </c>
      <c r="C46" s="4" t="s">
        <v>90</v>
      </c>
      <c r="D46" s="4" t="s">
        <v>91</v>
      </c>
      <c r="E46" s="4" t="s">
        <v>101</v>
      </c>
      <c r="F46" s="4" t="s">
        <v>77</v>
      </c>
      <c r="G46" s="4" t="s">
        <v>119</v>
      </c>
      <c r="H46" s="4">
        <v>13</v>
      </c>
      <c r="I46" s="6">
        <v>8000</v>
      </c>
      <c r="J46" s="7">
        <v>0</v>
      </c>
      <c r="K46" s="6">
        <v>104000</v>
      </c>
      <c r="L46" s="6">
        <v>72959.709820362244</v>
      </c>
      <c r="M46" s="6">
        <v>31040.290179637759</v>
      </c>
      <c r="N46" s="4" t="s">
        <v>65</v>
      </c>
      <c r="O46" s="4" t="s">
        <v>66</v>
      </c>
    </row>
    <row r="47" spans="1:15" x14ac:dyDescent="0.25">
      <c r="A47" s="4" t="s">
        <v>143</v>
      </c>
      <c r="B47" s="5">
        <v>45901</v>
      </c>
      <c r="C47" s="4" t="s">
        <v>68</v>
      </c>
      <c r="D47" s="4" t="s">
        <v>69</v>
      </c>
      <c r="E47" s="4" t="s">
        <v>51</v>
      </c>
      <c r="F47" s="4" t="s">
        <v>77</v>
      </c>
      <c r="G47" s="4" t="s">
        <v>95</v>
      </c>
      <c r="H47" s="4">
        <v>1</v>
      </c>
      <c r="I47" s="6">
        <v>11000</v>
      </c>
      <c r="J47" s="7">
        <v>0</v>
      </c>
      <c r="K47" s="6">
        <v>11000</v>
      </c>
      <c r="L47" s="6">
        <v>6669.4516365182262</v>
      </c>
      <c r="M47" s="6">
        <v>4330.5483634817738</v>
      </c>
      <c r="N47" s="4" t="s">
        <v>79</v>
      </c>
      <c r="O47" s="4" t="s">
        <v>55</v>
      </c>
    </row>
    <row r="48" spans="1:15" x14ac:dyDescent="0.25">
      <c r="A48" s="4" t="s">
        <v>144</v>
      </c>
      <c r="B48" s="5">
        <v>46010</v>
      </c>
      <c r="C48" s="4" t="s">
        <v>61</v>
      </c>
      <c r="D48" s="4" t="s">
        <v>100</v>
      </c>
      <c r="E48" s="4" t="s">
        <v>84</v>
      </c>
      <c r="F48" s="4" t="s">
        <v>85</v>
      </c>
      <c r="G48" s="4" t="s">
        <v>86</v>
      </c>
      <c r="H48" s="4">
        <v>7</v>
      </c>
      <c r="I48" s="6">
        <v>1200</v>
      </c>
      <c r="J48" s="7">
        <v>0</v>
      </c>
      <c r="K48" s="6">
        <v>8400</v>
      </c>
      <c r="L48" s="6">
        <v>4905.107838716388</v>
      </c>
      <c r="M48" s="6">
        <v>3494.892161283612</v>
      </c>
      <c r="N48" s="4" t="s">
        <v>65</v>
      </c>
      <c r="O48" s="4" t="s">
        <v>55</v>
      </c>
    </row>
    <row r="49" spans="1:15" x14ac:dyDescent="0.25">
      <c r="A49" s="4" t="s">
        <v>145</v>
      </c>
      <c r="B49" s="5">
        <v>45720</v>
      </c>
      <c r="C49" s="4" t="s">
        <v>61</v>
      </c>
      <c r="D49" s="4" t="s">
        <v>83</v>
      </c>
      <c r="E49" s="4" t="s">
        <v>105</v>
      </c>
      <c r="F49" s="4" t="s">
        <v>85</v>
      </c>
      <c r="G49" s="4" t="s">
        <v>106</v>
      </c>
      <c r="H49" s="4">
        <v>9</v>
      </c>
      <c r="I49" s="6">
        <v>900</v>
      </c>
      <c r="J49" s="7">
        <v>0</v>
      </c>
      <c r="K49" s="6">
        <v>8100</v>
      </c>
      <c r="L49" s="6">
        <v>6164.2466369304857</v>
      </c>
      <c r="M49" s="6">
        <v>1935.7533630695141</v>
      </c>
      <c r="N49" s="4" t="s">
        <v>65</v>
      </c>
      <c r="O49" s="4" t="s">
        <v>55</v>
      </c>
    </row>
    <row r="50" spans="1:15" x14ac:dyDescent="0.25">
      <c r="A50" s="4" t="s">
        <v>146</v>
      </c>
      <c r="B50" s="5">
        <v>45901</v>
      </c>
      <c r="C50" s="4" t="s">
        <v>68</v>
      </c>
      <c r="D50" s="4" t="s">
        <v>88</v>
      </c>
      <c r="E50" s="4" t="s">
        <v>105</v>
      </c>
      <c r="F50" s="4" t="s">
        <v>85</v>
      </c>
      <c r="G50" s="4" t="s">
        <v>86</v>
      </c>
      <c r="H50" s="4">
        <v>15</v>
      </c>
      <c r="I50" s="6">
        <v>1200</v>
      </c>
      <c r="J50" s="7">
        <v>0</v>
      </c>
      <c r="K50" s="6">
        <v>18000</v>
      </c>
      <c r="L50" s="6">
        <v>12978.73353054068</v>
      </c>
      <c r="M50" s="6">
        <v>5021.2664694593186</v>
      </c>
      <c r="N50" s="4" t="s">
        <v>79</v>
      </c>
      <c r="O50" s="4" t="s">
        <v>66</v>
      </c>
    </row>
    <row r="51" spans="1:15" x14ac:dyDescent="0.25">
      <c r="A51" s="4" t="s">
        <v>147</v>
      </c>
      <c r="B51" s="5">
        <v>45804</v>
      </c>
      <c r="C51" s="4" t="s">
        <v>68</v>
      </c>
      <c r="D51" s="4" t="s">
        <v>108</v>
      </c>
      <c r="E51" s="4" t="s">
        <v>57</v>
      </c>
      <c r="F51" s="4" t="s">
        <v>85</v>
      </c>
      <c r="G51" s="4" t="s">
        <v>92</v>
      </c>
      <c r="H51" s="4">
        <v>5</v>
      </c>
      <c r="I51" s="6">
        <v>2200</v>
      </c>
      <c r="J51" s="7">
        <v>0.1</v>
      </c>
      <c r="K51" s="6">
        <v>9900</v>
      </c>
      <c r="L51" s="6">
        <v>6246.032885277783</v>
      </c>
      <c r="M51" s="6">
        <v>3653.967114722217</v>
      </c>
      <c r="N51" s="4" t="s">
        <v>79</v>
      </c>
      <c r="O51" s="4" t="s">
        <v>80</v>
      </c>
    </row>
    <row r="52" spans="1:15" x14ac:dyDescent="0.25">
      <c r="A52" s="4" t="s">
        <v>148</v>
      </c>
      <c r="B52" s="5">
        <v>45736</v>
      </c>
      <c r="C52" s="4" t="s">
        <v>68</v>
      </c>
      <c r="D52" s="4" t="s">
        <v>108</v>
      </c>
      <c r="E52" s="4" t="s">
        <v>57</v>
      </c>
      <c r="F52" s="4" t="s">
        <v>58</v>
      </c>
      <c r="G52" s="4" t="s">
        <v>59</v>
      </c>
      <c r="H52" s="4">
        <v>3</v>
      </c>
      <c r="I52" s="6">
        <v>12000</v>
      </c>
      <c r="J52" s="7">
        <v>0</v>
      </c>
      <c r="K52" s="6">
        <v>36000</v>
      </c>
      <c r="L52" s="6">
        <v>22971.532221331479</v>
      </c>
      <c r="M52" s="6">
        <v>13028.467778668521</v>
      </c>
      <c r="N52" s="4" t="s">
        <v>65</v>
      </c>
      <c r="O52" s="4" t="s">
        <v>55</v>
      </c>
    </row>
    <row r="53" spans="1:15" x14ac:dyDescent="0.25">
      <c r="A53" s="4" t="s">
        <v>149</v>
      </c>
      <c r="B53" s="5">
        <v>45857</v>
      </c>
      <c r="C53" s="4" t="s">
        <v>90</v>
      </c>
      <c r="D53" s="4" t="s">
        <v>94</v>
      </c>
      <c r="E53" s="4" t="s">
        <v>84</v>
      </c>
      <c r="F53" s="4" t="s">
        <v>85</v>
      </c>
      <c r="G53" s="4" t="s">
        <v>86</v>
      </c>
      <c r="H53" s="4">
        <v>1</v>
      </c>
      <c r="I53" s="6">
        <v>1200</v>
      </c>
      <c r="J53" s="7">
        <v>0</v>
      </c>
      <c r="K53" s="6">
        <v>1200</v>
      </c>
      <c r="L53" s="6">
        <v>889.8779627379746</v>
      </c>
      <c r="M53" s="6">
        <v>310.1220372620254</v>
      </c>
      <c r="N53" s="4" t="s">
        <v>54</v>
      </c>
      <c r="O53" s="4" t="s">
        <v>55</v>
      </c>
    </row>
    <row r="54" spans="1:15" x14ac:dyDescent="0.25">
      <c r="A54" s="4" t="s">
        <v>150</v>
      </c>
      <c r="B54" s="5">
        <v>45872</v>
      </c>
      <c r="C54" s="4" t="s">
        <v>90</v>
      </c>
      <c r="D54" s="4" t="s">
        <v>114</v>
      </c>
      <c r="E54" s="4" t="s">
        <v>57</v>
      </c>
      <c r="F54" s="4" t="s">
        <v>52</v>
      </c>
      <c r="G54" s="4" t="s">
        <v>98</v>
      </c>
      <c r="H54" s="4">
        <v>13</v>
      </c>
      <c r="I54" s="6">
        <v>80</v>
      </c>
      <c r="J54" s="7">
        <v>0.1</v>
      </c>
      <c r="K54" s="6">
        <v>936</v>
      </c>
      <c r="L54" s="6">
        <v>776.14474977612986</v>
      </c>
      <c r="M54" s="6">
        <v>159.85525022387009</v>
      </c>
      <c r="N54" s="4" t="s">
        <v>79</v>
      </c>
      <c r="O54" s="4" t="s">
        <v>66</v>
      </c>
    </row>
    <row r="55" spans="1:15" x14ac:dyDescent="0.25">
      <c r="A55" s="4" t="s">
        <v>151</v>
      </c>
      <c r="B55" s="5">
        <v>45865</v>
      </c>
      <c r="C55" s="4" t="s">
        <v>68</v>
      </c>
      <c r="D55" s="4" t="s">
        <v>88</v>
      </c>
      <c r="E55" s="4" t="s">
        <v>131</v>
      </c>
      <c r="F55" s="4" t="s">
        <v>85</v>
      </c>
      <c r="G55" s="4" t="s">
        <v>106</v>
      </c>
      <c r="H55" s="4">
        <v>7</v>
      </c>
      <c r="I55" s="6">
        <v>900</v>
      </c>
      <c r="J55" s="7">
        <v>0.05</v>
      </c>
      <c r="K55" s="6">
        <v>5985</v>
      </c>
      <c r="L55" s="6">
        <v>4434.1978762826066</v>
      </c>
      <c r="M55" s="6">
        <v>1550.802123717393</v>
      </c>
      <c r="N55" s="4" t="s">
        <v>79</v>
      </c>
      <c r="O55" s="4" t="s">
        <v>66</v>
      </c>
    </row>
    <row r="56" spans="1:15" x14ac:dyDescent="0.25">
      <c r="A56" s="4" t="s">
        <v>152</v>
      </c>
      <c r="B56" s="5">
        <v>45894</v>
      </c>
      <c r="C56" s="4" t="s">
        <v>49</v>
      </c>
      <c r="D56" s="4" t="s">
        <v>72</v>
      </c>
      <c r="E56" s="4" t="s">
        <v>131</v>
      </c>
      <c r="F56" s="4" t="s">
        <v>58</v>
      </c>
      <c r="G56" s="4" t="s">
        <v>103</v>
      </c>
      <c r="H56" s="4">
        <v>11</v>
      </c>
      <c r="I56" s="6">
        <v>55000</v>
      </c>
      <c r="J56" s="7">
        <v>0.1</v>
      </c>
      <c r="K56" s="6">
        <v>544500</v>
      </c>
      <c r="L56" s="6">
        <v>351632.58364813298</v>
      </c>
      <c r="M56" s="6">
        <v>192867.416351867</v>
      </c>
      <c r="N56" s="4" t="s">
        <v>65</v>
      </c>
      <c r="O56" s="4" t="s">
        <v>80</v>
      </c>
    </row>
    <row r="57" spans="1:15" x14ac:dyDescent="0.25">
      <c r="A57" s="4" t="s">
        <v>153</v>
      </c>
      <c r="B57" s="5">
        <v>45852</v>
      </c>
      <c r="C57" s="4" t="s">
        <v>90</v>
      </c>
      <c r="D57" s="4" t="s">
        <v>94</v>
      </c>
      <c r="E57" s="4" t="s">
        <v>63</v>
      </c>
      <c r="F57" s="4" t="s">
        <v>77</v>
      </c>
      <c r="G57" s="4" t="s">
        <v>119</v>
      </c>
      <c r="H57" s="4">
        <v>6</v>
      </c>
      <c r="I57" s="6">
        <v>8000</v>
      </c>
      <c r="J57" s="7">
        <v>0.05</v>
      </c>
      <c r="K57" s="6">
        <v>45600</v>
      </c>
      <c r="L57" s="6">
        <v>34803.975975150061</v>
      </c>
      <c r="M57" s="6">
        <v>10796.024024849939</v>
      </c>
      <c r="N57" s="4" t="s">
        <v>79</v>
      </c>
      <c r="O57" s="4" t="s">
        <v>80</v>
      </c>
    </row>
    <row r="58" spans="1:15" x14ac:dyDescent="0.25">
      <c r="A58" s="4" t="s">
        <v>154</v>
      </c>
      <c r="B58" s="5">
        <v>45991</v>
      </c>
      <c r="C58" s="4" t="s">
        <v>49</v>
      </c>
      <c r="D58" s="4" t="s">
        <v>72</v>
      </c>
      <c r="E58" s="4" t="s">
        <v>84</v>
      </c>
      <c r="F58" s="4" t="s">
        <v>58</v>
      </c>
      <c r="G58" s="4" t="s">
        <v>103</v>
      </c>
      <c r="H58" s="4">
        <v>6</v>
      </c>
      <c r="I58" s="6">
        <v>55000</v>
      </c>
      <c r="J58" s="7">
        <v>0</v>
      </c>
      <c r="K58" s="6">
        <v>330000</v>
      </c>
      <c r="L58" s="6">
        <v>230845.93667766551</v>
      </c>
      <c r="M58" s="6">
        <v>99154.063322334492</v>
      </c>
      <c r="N58" s="4" t="s">
        <v>65</v>
      </c>
      <c r="O58" s="4" t="s">
        <v>66</v>
      </c>
    </row>
    <row r="59" spans="1:15" x14ac:dyDescent="0.25">
      <c r="A59" s="4" t="s">
        <v>155</v>
      </c>
      <c r="B59" s="5">
        <v>45946</v>
      </c>
      <c r="C59" s="4" t="s">
        <v>61</v>
      </c>
      <c r="D59" s="4" t="s">
        <v>83</v>
      </c>
      <c r="E59" s="4" t="s">
        <v>57</v>
      </c>
      <c r="F59" s="4" t="s">
        <v>77</v>
      </c>
      <c r="G59" s="4" t="s">
        <v>95</v>
      </c>
      <c r="H59" s="4">
        <v>3</v>
      </c>
      <c r="I59" s="6">
        <v>11000</v>
      </c>
      <c r="J59" s="7">
        <v>0.1</v>
      </c>
      <c r="K59" s="6">
        <v>29700</v>
      </c>
      <c r="L59" s="6">
        <v>23231.192630665129</v>
      </c>
      <c r="M59" s="6">
        <v>6468.8073693348742</v>
      </c>
      <c r="N59" s="4" t="s">
        <v>79</v>
      </c>
      <c r="O59" s="4" t="s">
        <v>80</v>
      </c>
    </row>
    <row r="60" spans="1:15" x14ac:dyDescent="0.25">
      <c r="A60" s="4" t="s">
        <v>156</v>
      </c>
      <c r="B60" s="5">
        <v>45817</v>
      </c>
      <c r="C60" s="4" t="s">
        <v>68</v>
      </c>
      <c r="D60" s="4" t="s">
        <v>69</v>
      </c>
      <c r="E60" s="4" t="s">
        <v>123</v>
      </c>
      <c r="F60" s="4" t="s">
        <v>58</v>
      </c>
      <c r="G60" s="4" t="s">
        <v>59</v>
      </c>
      <c r="H60" s="4">
        <v>5</v>
      </c>
      <c r="I60" s="6">
        <v>12000</v>
      </c>
      <c r="J60" s="7">
        <v>0</v>
      </c>
      <c r="K60" s="6">
        <v>60000</v>
      </c>
      <c r="L60" s="6">
        <v>40985.849308627563</v>
      </c>
      <c r="M60" s="6">
        <v>19014.150691372441</v>
      </c>
      <c r="N60" s="4" t="s">
        <v>79</v>
      </c>
      <c r="O60" s="4" t="s">
        <v>66</v>
      </c>
    </row>
    <row r="61" spans="1:15" x14ac:dyDescent="0.25">
      <c r="A61" s="4" t="s">
        <v>157</v>
      </c>
      <c r="B61" s="5">
        <v>45965</v>
      </c>
      <c r="C61" s="4" t="s">
        <v>49</v>
      </c>
      <c r="D61" s="4" t="s">
        <v>76</v>
      </c>
      <c r="E61" s="4" t="s">
        <v>51</v>
      </c>
      <c r="F61" s="4" t="s">
        <v>77</v>
      </c>
      <c r="G61" s="4" t="s">
        <v>158</v>
      </c>
      <c r="H61" s="4">
        <v>12</v>
      </c>
      <c r="I61" s="6">
        <v>7000</v>
      </c>
      <c r="J61" s="7">
        <v>0.05</v>
      </c>
      <c r="K61" s="6">
        <v>79800</v>
      </c>
      <c r="L61" s="6">
        <v>62627.665379195547</v>
      </c>
      <c r="M61" s="6">
        <v>17172.33462080445</v>
      </c>
      <c r="N61" s="4" t="s">
        <v>54</v>
      </c>
      <c r="O61" s="4" t="s">
        <v>74</v>
      </c>
    </row>
    <row r="62" spans="1:15" x14ac:dyDescent="0.25">
      <c r="A62" s="4" t="s">
        <v>159</v>
      </c>
      <c r="B62" s="5">
        <v>45664</v>
      </c>
      <c r="C62" s="4" t="s">
        <v>68</v>
      </c>
      <c r="D62" s="4" t="s">
        <v>108</v>
      </c>
      <c r="E62" s="4" t="s">
        <v>123</v>
      </c>
      <c r="F62" s="4" t="s">
        <v>85</v>
      </c>
      <c r="G62" s="4" t="s">
        <v>116</v>
      </c>
      <c r="H62" s="4">
        <v>2</v>
      </c>
      <c r="I62" s="6">
        <v>3000</v>
      </c>
      <c r="J62" s="7">
        <v>0.15</v>
      </c>
      <c r="K62" s="6">
        <v>5100</v>
      </c>
      <c r="L62" s="6">
        <v>4193.6096905983914</v>
      </c>
      <c r="M62" s="6">
        <v>906.39030940160865</v>
      </c>
      <c r="N62" s="4" t="s">
        <v>79</v>
      </c>
      <c r="O62" s="4" t="s">
        <v>74</v>
      </c>
    </row>
    <row r="63" spans="1:15" x14ac:dyDescent="0.25">
      <c r="A63" s="4" t="s">
        <v>160</v>
      </c>
      <c r="B63" s="5">
        <v>45991</v>
      </c>
      <c r="C63" s="4" t="s">
        <v>90</v>
      </c>
      <c r="D63" s="4" t="s">
        <v>94</v>
      </c>
      <c r="E63" s="4" t="s">
        <v>63</v>
      </c>
      <c r="F63" s="4" t="s">
        <v>85</v>
      </c>
      <c r="G63" s="4" t="s">
        <v>92</v>
      </c>
      <c r="H63" s="4">
        <v>7</v>
      </c>
      <c r="I63" s="6">
        <v>2200</v>
      </c>
      <c r="J63" s="7">
        <v>0</v>
      </c>
      <c r="K63" s="6">
        <v>15400</v>
      </c>
      <c r="L63" s="6">
        <v>11069.10296681543</v>
      </c>
      <c r="M63" s="6">
        <v>4330.8970331845667</v>
      </c>
      <c r="N63" s="4" t="s">
        <v>54</v>
      </c>
      <c r="O63" s="4" t="s">
        <v>55</v>
      </c>
    </row>
    <row r="64" spans="1:15" x14ac:dyDescent="0.25">
      <c r="A64" s="4" t="s">
        <v>161</v>
      </c>
      <c r="B64" s="5">
        <v>45702</v>
      </c>
      <c r="C64" s="4" t="s">
        <v>90</v>
      </c>
      <c r="D64" s="4" t="s">
        <v>94</v>
      </c>
      <c r="E64" s="4" t="s">
        <v>63</v>
      </c>
      <c r="F64" s="4" t="s">
        <v>52</v>
      </c>
      <c r="G64" s="4" t="s">
        <v>98</v>
      </c>
      <c r="H64" s="4">
        <v>14</v>
      </c>
      <c r="I64" s="6">
        <v>80</v>
      </c>
      <c r="J64" s="7">
        <v>0</v>
      </c>
      <c r="K64" s="6">
        <v>1120</v>
      </c>
      <c r="L64" s="6">
        <v>829.99631046621948</v>
      </c>
      <c r="M64" s="6">
        <v>290.00368953378052</v>
      </c>
      <c r="N64" s="4" t="s">
        <v>79</v>
      </c>
      <c r="O64" s="4" t="s">
        <v>66</v>
      </c>
    </row>
    <row r="65" spans="1:15" x14ac:dyDescent="0.25">
      <c r="A65" s="4" t="s">
        <v>162</v>
      </c>
      <c r="B65" s="5">
        <v>45751</v>
      </c>
      <c r="C65" s="4" t="s">
        <v>90</v>
      </c>
      <c r="D65" s="4" t="s">
        <v>91</v>
      </c>
      <c r="E65" s="4" t="s">
        <v>105</v>
      </c>
      <c r="F65" s="4" t="s">
        <v>85</v>
      </c>
      <c r="G65" s="4" t="s">
        <v>116</v>
      </c>
      <c r="H65" s="4">
        <v>1</v>
      </c>
      <c r="I65" s="6">
        <v>3000</v>
      </c>
      <c r="J65" s="7">
        <v>0.1</v>
      </c>
      <c r="K65" s="6">
        <v>2700</v>
      </c>
      <c r="L65" s="6">
        <v>2237.1574570555972</v>
      </c>
      <c r="M65" s="6">
        <v>462.84254294440319</v>
      </c>
      <c r="N65" s="4" t="s">
        <v>65</v>
      </c>
      <c r="O65" s="4" t="s">
        <v>80</v>
      </c>
    </row>
    <row r="66" spans="1:15" x14ac:dyDescent="0.25">
      <c r="A66" s="4" t="s">
        <v>163</v>
      </c>
      <c r="B66" s="5">
        <v>45755</v>
      </c>
      <c r="C66" s="4" t="s">
        <v>68</v>
      </c>
      <c r="D66" s="4" t="s">
        <v>88</v>
      </c>
      <c r="E66" s="4" t="s">
        <v>51</v>
      </c>
      <c r="F66" s="4" t="s">
        <v>52</v>
      </c>
      <c r="G66" s="4" t="s">
        <v>98</v>
      </c>
      <c r="H66" s="4">
        <v>9</v>
      </c>
      <c r="I66" s="6">
        <v>80</v>
      </c>
      <c r="J66" s="7">
        <v>0</v>
      </c>
      <c r="K66" s="6">
        <v>720</v>
      </c>
      <c r="L66" s="6">
        <v>481.55347288399321</v>
      </c>
      <c r="M66" s="6">
        <v>238.44652711600679</v>
      </c>
      <c r="N66" s="4" t="s">
        <v>65</v>
      </c>
      <c r="O66" s="4" t="s">
        <v>55</v>
      </c>
    </row>
    <row r="67" spans="1:15" x14ac:dyDescent="0.25">
      <c r="A67" s="4" t="s">
        <v>164</v>
      </c>
      <c r="B67" s="5">
        <v>45666</v>
      </c>
      <c r="C67" s="4" t="s">
        <v>90</v>
      </c>
      <c r="D67" s="4" t="s">
        <v>91</v>
      </c>
      <c r="E67" s="4" t="s">
        <v>51</v>
      </c>
      <c r="F67" s="4" t="s">
        <v>77</v>
      </c>
      <c r="G67" s="4" t="s">
        <v>119</v>
      </c>
      <c r="H67" s="4">
        <v>11</v>
      </c>
      <c r="I67" s="6">
        <v>8000</v>
      </c>
      <c r="J67" s="7">
        <v>0.1</v>
      </c>
      <c r="K67" s="6">
        <v>79200</v>
      </c>
      <c r="L67" s="6">
        <v>57471.052883632197</v>
      </c>
      <c r="M67" s="6">
        <v>21728.947116367799</v>
      </c>
      <c r="N67" s="4" t="s">
        <v>79</v>
      </c>
      <c r="O67" s="4" t="s">
        <v>66</v>
      </c>
    </row>
    <row r="68" spans="1:15" x14ac:dyDescent="0.25">
      <c r="A68" s="4" t="s">
        <v>165</v>
      </c>
      <c r="B68" s="5">
        <v>45941</v>
      </c>
      <c r="C68" s="4" t="s">
        <v>90</v>
      </c>
      <c r="D68" s="4" t="s">
        <v>91</v>
      </c>
      <c r="E68" s="4" t="s">
        <v>101</v>
      </c>
      <c r="F68" s="4" t="s">
        <v>77</v>
      </c>
      <c r="G68" s="4" t="s">
        <v>78</v>
      </c>
      <c r="H68" s="4">
        <v>11</v>
      </c>
      <c r="I68" s="6">
        <v>6500</v>
      </c>
      <c r="J68" s="7">
        <v>0.15</v>
      </c>
      <c r="K68" s="6">
        <v>60775</v>
      </c>
      <c r="L68" s="6">
        <v>45393.54131112076</v>
      </c>
      <c r="M68" s="6">
        <v>15381.45868887924</v>
      </c>
      <c r="N68" s="4" t="s">
        <v>79</v>
      </c>
      <c r="O68" s="4" t="s">
        <v>80</v>
      </c>
    </row>
    <row r="69" spans="1:15" x14ac:dyDescent="0.25">
      <c r="A69" s="4" t="s">
        <v>166</v>
      </c>
      <c r="B69" s="5">
        <v>45756</v>
      </c>
      <c r="C69" s="4" t="s">
        <v>68</v>
      </c>
      <c r="D69" s="4" t="s">
        <v>108</v>
      </c>
      <c r="E69" s="4" t="s">
        <v>101</v>
      </c>
      <c r="F69" s="4" t="s">
        <v>85</v>
      </c>
      <c r="G69" s="4" t="s">
        <v>116</v>
      </c>
      <c r="H69" s="4">
        <v>5</v>
      </c>
      <c r="I69" s="6">
        <v>3000</v>
      </c>
      <c r="J69" s="7">
        <v>0.05</v>
      </c>
      <c r="K69" s="6">
        <v>14250</v>
      </c>
      <c r="L69" s="6">
        <v>9045.3562424798511</v>
      </c>
      <c r="M69" s="6">
        <v>5204.6437575201489</v>
      </c>
      <c r="N69" s="4" t="s">
        <v>65</v>
      </c>
      <c r="O69" s="4" t="s">
        <v>66</v>
      </c>
    </row>
    <row r="70" spans="1:15" x14ac:dyDescent="0.25">
      <c r="A70" s="4" t="s">
        <v>167</v>
      </c>
      <c r="B70" s="5">
        <v>45926</v>
      </c>
      <c r="C70" s="4" t="s">
        <v>61</v>
      </c>
      <c r="D70" s="4" t="s">
        <v>83</v>
      </c>
      <c r="E70" s="4" t="s">
        <v>63</v>
      </c>
      <c r="F70" s="4" t="s">
        <v>85</v>
      </c>
      <c r="G70" s="4" t="s">
        <v>116</v>
      </c>
      <c r="H70" s="4">
        <v>12</v>
      </c>
      <c r="I70" s="6">
        <v>3000</v>
      </c>
      <c r="J70" s="7">
        <v>0.15</v>
      </c>
      <c r="K70" s="6">
        <v>30600</v>
      </c>
      <c r="L70" s="6">
        <v>27886.306149471711</v>
      </c>
      <c r="M70" s="6">
        <v>2713.6938505282892</v>
      </c>
      <c r="N70" s="4" t="s">
        <v>65</v>
      </c>
      <c r="O70" s="4" t="s">
        <v>66</v>
      </c>
    </row>
    <row r="71" spans="1:15" x14ac:dyDescent="0.25">
      <c r="A71" s="4" t="s">
        <v>168</v>
      </c>
      <c r="B71" s="5">
        <v>45722</v>
      </c>
      <c r="C71" s="4" t="s">
        <v>68</v>
      </c>
      <c r="D71" s="4" t="s">
        <v>69</v>
      </c>
      <c r="E71" s="4" t="s">
        <v>63</v>
      </c>
      <c r="F71" s="4" t="s">
        <v>52</v>
      </c>
      <c r="G71" s="4" t="s">
        <v>53</v>
      </c>
      <c r="H71" s="4">
        <v>5</v>
      </c>
      <c r="I71" s="6">
        <v>250</v>
      </c>
      <c r="J71" s="7">
        <v>0</v>
      </c>
      <c r="K71" s="6">
        <v>1250</v>
      </c>
      <c r="L71" s="6">
        <v>891.05531464192154</v>
      </c>
      <c r="M71" s="6">
        <v>358.94468535807852</v>
      </c>
      <c r="N71" s="4" t="s">
        <v>65</v>
      </c>
      <c r="O71" s="4" t="s">
        <v>74</v>
      </c>
    </row>
    <row r="72" spans="1:15" x14ac:dyDescent="0.25">
      <c r="A72" s="4" t="s">
        <v>169</v>
      </c>
      <c r="B72" s="5">
        <v>45898</v>
      </c>
      <c r="C72" s="4" t="s">
        <v>68</v>
      </c>
      <c r="D72" s="4" t="s">
        <v>108</v>
      </c>
      <c r="E72" s="4" t="s">
        <v>105</v>
      </c>
      <c r="F72" s="4" t="s">
        <v>77</v>
      </c>
      <c r="G72" s="4" t="s">
        <v>119</v>
      </c>
      <c r="H72" s="4">
        <v>2</v>
      </c>
      <c r="I72" s="6">
        <v>8000</v>
      </c>
      <c r="J72" s="7">
        <v>0</v>
      </c>
      <c r="K72" s="6">
        <v>16000</v>
      </c>
      <c r="L72" s="6">
        <v>10912.5563282249</v>
      </c>
      <c r="M72" s="6">
        <v>5087.4436717750959</v>
      </c>
      <c r="N72" s="4" t="s">
        <v>79</v>
      </c>
      <c r="O72" s="4" t="s">
        <v>80</v>
      </c>
    </row>
    <row r="73" spans="1:15" x14ac:dyDescent="0.25">
      <c r="A73" s="4" t="s">
        <v>170</v>
      </c>
      <c r="B73" s="5">
        <v>45695</v>
      </c>
      <c r="C73" s="4" t="s">
        <v>61</v>
      </c>
      <c r="D73" s="4" t="s">
        <v>83</v>
      </c>
      <c r="E73" s="4" t="s">
        <v>84</v>
      </c>
      <c r="F73" s="4" t="s">
        <v>52</v>
      </c>
      <c r="G73" s="4" t="s">
        <v>110</v>
      </c>
      <c r="H73" s="4">
        <v>2</v>
      </c>
      <c r="I73" s="6">
        <v>180</v>
      </c>
      <c r="J73" s="7">
        <v>0</v>
      </c>
      <c r="K73" s="6">
        <v>360</v>
      </c>
      <c r="L73" s="6">
        <v>231.17857621846059</v>
      </c>
      <c r="M73" s="6">
        <v>128.82142378153941</v>
      </c>
      <c r="N73" s="4" t="s">
        <v>65</v>
      </c>
      <c r="O73" s="4" t="s">
        <v>66</v>
      </c>
    </row>
    <row r="74" spans="1:15" x14ac:dyDescent="0.25">
      <c r="A74" s="4" t="s">
        <v>171</v>
      </c>
      <c r="B74" s="5">
        <v>45974</v>
      </c>
      <c r="C74" s="4" t="s">
        <v>68</v>
      </c>
      <c r="D74" s="4" t="s">
        <v>69</v>
      </c>
      <c r="E74" s="4" t="s">
        <v>57</v>
      </c>
      <c r="F74" s="4" t="s">
        <v>77</v>
      </c>
      <c r="G74" s="4" t="s">
        <v>158</v>
      </c>
      <c r="H74" s="4">
        <v>9</v>
      </c>
      <c r="I74" s="6">
        <v>7000</v>
      </c>
      <c r="J74" s="7">
        <v>0.1</v>
      </c>
      <c r="K74" s="6">
        <v>56700</v>
      </c>
      <c r="L74" s="6">
        <v>43435.542766510531</v>
      </c>
      <c r="M74" s="6">
        <v>13264.457233489469</v>
      </c>
      <c r="N74" s="4" t="s">
        <v>54</v>
      </c>
      <c r="O74" s="4" t="s">
        <v>55</v>
      </c>
    </row>
    <row r="75" spans="1:15" x14ac:dyDescent="0.25">
      <c r="A75" s="4" t="s">
        <v>172</v>
      </c>
      <c r="B75" s="5">
        <v>45970</v>
      </c>
      <c r="C75" s="4" t="s">
        <v>90</v>
      </c>
      <c r="D75" s="4" t="s">
        <v>94</v>
      </c>
      <c r="E75" s="4" t="s">
        <v>51</v>
      </c>
      <c r="F75" s="4" t="s">
        <v>52</v>
      </c>
      <c r="G75" s="4" t="s">
        <v>110</v>
      </c>
      <c r="H75" s="4">
        <v>5</v>
      </c>
      <c r="I75" s="6">
        <v>180</v>
      </c>
      <c r="J75" s="7">
        <v>0.15</v>
      </c>
      <c r="K75" s="6">
        <v>765</v>
      </c>
      <c r="L75" s="6">
        <v>623.55265546193482</v>
      </c>
      <c r="M75" s="6">
        <v>141.44734453806521</v>
      </c>
      <c r="N75" s="4" t="s">
        <v>65</v>
      </c>
      <c r="O75" s="4" t="s">
        <v>66</v>
      </c>
    </row>
    <row r="76" spans="1:15" x14ac:dyDescent="0.25">
      <c r="A76" s="4" t="s">
        <v>173</v>
      </c>
      <c r="B76" s="5">
        <v>45738</v>
      </c>
      <c r="C76" s="4" t="s">
        <v>68</v>
      </c>
      <c r="D76" s="4" t="s">
        <v>108</v>
      </c>
      <c r="E76" s="4" t="s">
        <v>84</v>
      </c>
      <c r="F76" s="4" t="s">
        <v>58</v>
      </c>
      <c r="G76" s="4" t="s">
        <v>59</v>
      </c>
      <c r="H76" s="4">
        <v>4</v>
      </c>
      <c r="I76" s="6">
        <v>12000</v>
      </c>
      <c r="J76" s="7">
        <v>0</v>
      </c>
      <c r="K76" s="6">
        <v>48000</v>
      </c>
      <c r="L76" s="6">
        <v>32493.994391178461</v>
      </c>
      <c r="M76" s="6">
        <v>15506.005608821541</v>
      </c>
      <c r="N76" s="4" t="s">
        <v>79</v>
      </c>
      <c r="O76" s="4" t="s">
        <v>55</v>
      </c>
    </row>
    <row r="77" spans="1:15" x14ac:dyDescent="0.25">
      <c r="A77" s="4" t="s">
        <v>174</v>
      </c>
      <c r="B77" s="5">
        <v>45890</v>
      </c>
      <c r="C77" s="4" t="s">
        <v>90</v>
      </c>
      <c r="D77" s="4" t="s">
        <v>94</v>
      </c>
      <c r="E77" s="4" t="s">
        <v>51</v>
      </c>
      <c r="F77" s="4" t="s">
        <v>58</v>
      </c>
      <c r="G77" s="4" t="s">
        <v>59</v>
      </c>
      <c r="H77" s="4">
        <v>5</v>
      </c>
      <c r="I77" s="6">
        <v>12000</v>
      </c>
      <c r="J77" s="7">
        <v>0.05</v>
      </c>
      <c r="K77" s="6">
        <v>57000</v>
      </c>
      <c r="L77" s="6">
        <v>42701.2283016933</v>
      </c>
      <c r="M77" s="6">
        <v>14298.7716983067</v>
      </c>
      <c r="N77" s="4" t="s">
        <v>54</v>
      </c>
      <c r="O77" s="4" t="s">
        <v>66</v>
      </c>
    </row>
    <row r="78" spans="1:15" x14ac:dyDescent="0.25">
      <c r="A78" s="4" t="s">
        <v>175</v>
      </c>
      <c r="B78" s="5">
        <v>45734</v>
      </c>
      <c r="C78" s="4" t="s">
        <v>68</v>
      </c>
      <c r="D78" s="4" t="s">
        <v>108</v>
      </c>
      <c r="E78" s="4" t="s">
        <v>63</v>
      </c>
      <c r="F78" s="4" t="s">
        <v>77</v>
      </c>
      <c r="G78" s="4" t="s">
        <v>119</v>
      </c>
      <c r="H78" s="4">
        <v>2</v>
      </c>
      <c r="I78" s="6">
        <v>8000</v>
      </c>
      <c r="J78" s="7">
        <v>0.15</v>
      </c>
      <c r="K78" s="6">
        <v>13600</v>
      </c>
      <c r="L78" s="6">
        <v>9627.2987769789688</v>
      </c>
      <c r="M78" s="6">
        <v>3972.7012230210312</v>
      </c>
      <c r="N78" s="4" t="s">
        <v>65</v>
      </c>
      <c r="O78" s="4" t="s">
        <v>74</v>
      </c>
    </row>
    <row r="79" spans="1:15" x14ac:dyDescent="0.25">
      <c r="A79" s="4" t="s">
        <v>176</v>
      </c>
      <c r="B79" s="5">
        <v>45813</v>
      </c>
      <c r="C79" s="4" t="s">
        <v>49</v>
      </c>
      <c r="D79" s="4" t="s">
        <v>50</v>
      </c>
      <c r="E79" s="4" t="s">
        <v>123</v>
      </c>
      <c r="F79" s="4" t="s">
        <v>52</v>
      </c>
      <c r="G79" s="4" t="s">
        <v>98</v>
      </c>
      <c r="H79" s="4">
        <v>8</v>
      </c>
      <c r="I79" s="6">
        <v>80</v>
      </c>
      <c r="J79" s="7">
        <v>0</v>
      </c>
      <c r="K79" s="6">
        <v>640</v>
      </c>
      <c r="L79" s="6">
        <v>420.99234122465111</v>
      </c>
      <c r="M79" s="6">
        <v>219.00765877534889</v>
      </c>
      <c r="N79" s="4" t="s">
        <v>79</v>
      </c>
      <c r="O79" s="4" t="s">
        <v>55</v>
      </c>
    </row>
    <row r="80" spans="1:15" x14ac:dyDescent="0.25">
      <c r="A80" s="4" t="s">
        <v>177</v>
      </c>
      <c r="B80" s="5">
        <v>45671</v>
      </c>
      <c r="C80" s="4" t="s">
        <v>90</v>
      </c>
      <c r="D80" s="4" t="s">
        <v>114</v>
      </c>
      <c r="E80" s="4" t="s">
        <v>51</v>
      </c>
      <c r="F80" s="4" t="s">
        <v>58</v>
      </c>
      <c r="G80" s="4" t="s">
        <v>70</v>
      </c>
      <c r="H80" s="4">
        <v>12</v>
      </c>
      <c r="I80" s="6">
        <v>9000</v>
      </c>
      <c r="J80" s="7">
        <v>0.05</v>
      </c>
      <c r="K80" s="6">
        <v>102600</v>
      </c>
      <c r="L80" s="6">
        <v>74396.246841096421</v>
      </c>
      <c r="M80" s="6">
        <v>28203.753158903579</v>
      </c>
      <c r="N80" s="4" t="s">
        <v>65</v>
      </c>
      <c r="O80" s="4" t="s">
        <v>74</v>
      </c>
    </row>
    <row r="81" spans="1:15" x14ac:dyDescent="0.25">
      <c r="A81" s="4" t="s">
        <v>178</v>
      </c>
      <c r="B81" s="5">
        <v>45800</v>
      </c>
      <c r="C81" s="4" t="s">
        <v>68</v>
      </c>
      <c r="D81" s="4" t="s">
        <v>108</v>
      </c>
      <c r="E81" s="4" t="s">
        <v>131</v>
      </c>
      <c r="F81" s="4" t="s">
        <v>58</v>
      </c>
      <c r="G81" s="4" t="s">
        <v>59</v>
      </c>
      <c r="H81" s="4">
        <v>8</v>
      </c>
      <c r="I81" s="6">
        <v>12000</v>
      </c>
      <c r="J81" s="7">
        <v>0.15</v>
      </c>
      <c r="K81" s="6">
        <v>81600</v>
      </c>
      <c r="L81" s="6">
        <v>67185.329526695801</v>
      </c>
      <c r="M81" s="6">
        <v>14414.670473304201</v>
      </c>
      <c r="N81" s="4" t="s">
        <v>54</v>
      </c>
      <c r="O81" s="4" t="s">
        <v>55</v>
      </c>
    </row>
    <row r="82" spans="1:15" x14ac:dyDescent="0.25">
      <c r="A82" s="4" t="s">
        <v>179</v>
      </c>
      <c r="B82" s="5">
        <v>45711</v>
      </c>
      <c r="C82" s="4" t="s">
        <v>90</v>
      </c>
      <c r="D82" s="4" t="s">
        <v>114</v>
      </c>
      <c r="E82" s="4" t="s">
        <v>131</v>
      </c>
      <c r="F82" s="4" t="s">
        <v>85</v>
      </c>
      <c r="G82" s="4" t="s">
        <v>116</v>
      </c>
      <c r="H82" s="4">
        <v>7</v>
      </c>
      <c r="I82" s="6">
        <v>3000</v>
      </c>
      <c r="J82" s="7">
        <v>0.05</v>
      </c>
      <c r="K82" s="6">
        <v>19950</v>
      </c>
      <c r="L82" s="6">
        <v>13100.711376270239</v>
      </c>
      <c r="M82" s="6">
        <v>6849.2886237297589</v>
      </c>
      <c r="N82" s="4" t="s">
        <v>79</v>
      </c>
      <c r="O82" s="4" t="s">
        <v>55</v>
      </c>
    </row>
    <row r="83" spans="1:15" x14ac:dyDescent="0.25">
      <c r="A83" s="4" t="s">
        <v>180</v>
      </c>
      <c r="B83" s="5">
        <v>45823</v>
      </c>
      <c r="C83" s="4" t="s">
        <v>90</v>
      </c>
      <c r="D83" s="4" t="s">
        <v>94</v>
      </c>
      <c r="E83" s="4" t="s">
        <v>51</v>
      </c>
      <c r="F83" s="4" t="s">
        <v>85</v>
      </c>
      <c r="G83" s="4" t="s">
        <v>106</v>
      </c>
      <c r="H83" s="4">
        <v>8</v>
      </c>
      <c r="I83" s="6">
        <v>900</v>
      </c>
      <c r="J83" s="7">
        <v>0</v>
      </c>
      <c r="K83" s="6">
        <v>7200</v>
      </c>
      <c r="L83" s="6">
        <v>4480.8404122737984</v>
      </c>
      <c r="M83" s="6">
        <v>2719.1595877262021</v>
      </c>
      <c r="N83" s="4" t="s">
        <v>79</v>
      </c>
      <c r="O83" s="4" t="s">
        <v>74</v>
      </c>
    </row>
    <row r="84" spans="1:15" x14ac:dyDescent="0.25">
      <c r="A84" s="4" t="s">
        <v>181</v>
      </c>
      <c r="B84" s="5">
        <v>45913</v>
      </c>
      <c r="C84" s="4" t="s">
        <v>90</v>
      </c>
      <c r="D84" s="4" t="s">
        <v>94</v>
      </c>
      <c r="E84" s="4" t="s">
        <v>105</v>
      </c>
      <c r="F84" s="4" t="s">
        <v>58</v>
      </c>
      <c r="G84" s="4" t="s">
        <v>59</v>
      </c>
      <c r="H84" s="4">
        <v>9</v>
      </c>
      <c r="I84" s="6">
        <v>12000</v>
      </c>
      <c r="J84" s="7">
        <v>0.05</v>
      </c>
      <c r="K84" s="6">
        <v>102600</v>
      </c>
      <c r="L84" s="6">
        <v>74866.225395426503</v>
      </c>
      <c r="M84" s="6">
        <v>27733.7746045735</v>
      </c>
      <c r="N84" s="4" t="s">
        <v>65</v>
      </c>
      <c r="O84" s="4" t="s">
        <v>66</v>
      </c>
    </row>
    <row r="85" spans="1:15" x14ac:dyDescent="0.25">
      <c r="A85" s="4" t="s">
        <v>182</v>
      </c>
      <c r="B85" s="5">
        <v>45980</v>
      </c>
      <c r="C85" s="4" t="s">
        <v>68</v>
      </c>
      <c r="D85" s="4" t="s">
        <v>108</v>
      </c>
      <c r="E85" s="4" t="s">
        <v>57</v>
      </c>
      <c r="F85" s="4" t="s">
        <v>77</v>
      </c>
      <c r="G85" s="4" t="s">
        <v>78</v>
      </c>
      <c r="H85" s="4">
        <v>8</v>
      </c>
      <c r="I85" s="6">
        <v>6500</v>
      </c>
      <c r="J85" s="7">
        <v>0.1</v>
      </c>
      <c r="K85" s="6">
        <v>46800</v>
      </c>
      <c r="L85" s="6">
        <v>30052.25595701694</v>
      </c>
      <c r="M85" s="6">
        <v>16747.74404298306</v>
      </c>
      <c r="N85" s="4" t="s">
        <v>54</v>
      </c>
      <c r="O85" s="4" t="s">
        <v>66</v>
      </c>
    </row>
    <row r="86" spans="1:15" x14ac:dyDescent="0.25">
      <c r="A86" s="4" t="s">
        <v>183</v>
      </c>
      <c r="B86" s="5">
        <v>45716</v>
      </c>
      <c r="C86" s="4" t="s">
        <v>68</v>
      </c>
      <c r="D86" s="4" t="s">
        <v>108</v>
      </c>
      <c r="E86" s="4" t="s">
        <v>105</v>
      </c>
      <c r="F86" s="4" t="s">
        <v>58</v>
      </c>
      <c r="G86" s="4" t="s">
        <v>70</v>
      </c>
      <c r="H86" s="4">
        <v>2</v>
      </c>
      <c r="I86" s="6">
        <v>9000</v>
      </c>
      <c r="J86" s="7">
        <v>0</v>
      </c>
      <c r="K86" s="6">
        <v>18000</v>
      </c>
      <c r="L86" s="6">
        <v>14007.944557096211</v>
      </c>
      <c r="M86" s="6">
        <v>3992.0554429037888</v>
      </c>
      <c r="N86" s="4" t="s">
        <v>65</v>
      </c>
      <c r="O86" s="4" t="s">
        <v>66</v>
      </c>
    </row>
    <row r="87" spans="1:15" x14ac:dyDescent="0.25">
      <c r="A87" s="4" t="s">
        <v>184</v>
      </c>
      <c r="B87" s="5">
        <v>45782</v>
      </c>
      <c r="C87" s="4" t="s">
        <v>90</v>
      </c>
      <c r="D87" s="4" t="s">
        <v>91</v>
      </c>
      <c r="E87" s="4" t="s">
        <v>105</v>
      </c>
      <c r="F87" s="4" t="s">
        <v>52</v>
      </c>
      <c r="G87" s="4" t="s">
        <v>98</v>
      </c>
      <c r="H87" s="4">
        <v>7</v>
      </c>
      <c r="I87" s="6">
        <v>80</v>
      </c>
      <c r="J87" s="7">
        <v>0.1</v>
      </c>
      <c r="K87" s="6">
        <v>504</v>
      </c>
      <c r="L87" s="6">
        <v>434.2555086793148</v>
      </c>
      <c r="M87" s="6">
        <v>69.744491320685199</v>
      </c>
      <c r="N87" s="4" t="s">
        <v>54</v>
      </c>
      <c r="O87" s="4" t="s">
        <v>66</v>
      </c>
    </row>
    <row r="88" spans="1:15" x14ac:dyDescent="0.25">
      <c r="A88" s="4" t="s">
        <v>185</v>
      </c>
      <c r="B88" s="5">
        <v>45917</v>
      </c>
      <c r="C88" s="4" t="s">
        <v>90</v>
      </c>
      <c r="D88" s="4" t="s">
        <v>114</v>
      </c>
      <c r="E88" s="4" t="s">
        <v>63</v>
      </c>
      <c r="F88" s="4" t="s">
        <v>77</v>
      </c>
      <c r="G88" s="4" t="s">
        <v>158</v>
      </c>
      <c r="H88" s="4">
        <v>5</v>
      </c>
      <c r="I88" s="6">
        <v>7000</v>
      </c>
      <c r="J88" s="7">
        <v>0.1</v>
      </c>
      <c r="K88" s="6">
        <v>31500</v>
      </c>
      <c r="L88" s="6">
        <v>21985.99570707008</v>
      </c>
      <c r="M88" s="6">
        <v>9514.0042929299198</v>
      </c>
      <c r="N88" s="4" t="s">
        <v>65</v>
      </c>
      <c r="O88" s="4" t="s">
        <v>80</v>
      </c>
    </row>
    <row r="89" spans="1:15" x14ac:dyDescent="0.25">
      <c r="A89" s="4" t="s">
        <v>186</v>
      </c>
      <c r="B89" s="5">
        <v>45828</v>
      </c>
      <c r="C89" s="4" t="s">
        <v>68</v>
      </c>
      <c r="D89" s="4" t="s">
        <v>108</v>
      </c>
      <c r="E89" s="4" t="s">
        <v>123</v>
      </c>
      <c r="F89" s="4" t="s">
        <v>85</v>
      </c>
      <c r="G89" s="4" t="s">
        <v>92</v>
      </c>
      <c r="H89" s="4">
        <v>8</v>
      </c>
      <c r="I89" s="6">
        <v>2200</v>
      </c>
      <c r="J89" s="7">
        <v>0.15</v>
      </c>
      <c r="K89" s="6">
        <v>14960</v>
      </c>
      <c r="L89" s="6">
        <v>11640.613928713359</v>
      </c>
      <c r="M89" s="6">
        <v>3319.3860712866349</v>
      </c>
      <c r="N89" s="4" t="s">
        <v>79</v>
      </c>
      <c r="O89" s="4" t="s">
        <v>80</v>
      </c>
    </row>
    <row r="90" spans="1:15" x14ac:dyDescent="0.25">
      <c r="A90" s="4" t="s">
        <v>187</v>
      </c>
      <c r="B90" s="5">
        <v>45900</v>
      </c>
      <c r="C90" s="4" t="s">
        <v>61</v>
      </c>
      <c r="D90" s="4" t="s">
        <v>100</v>
      </c>
      <c r="E90" s="4" t="s">
        <v>123</v>
      </c>
      <c r="F90" s="4" t="s">
        <v>77</v>
      </c>
      <c r="G90" s="4" t="s">
        <v>119</v>
      </c>
      <c r="H90" s="4">
        <v>4</v>
      </c>
      <c r="I90" s="6">
        <v>8000</v>
      </c>
      <c r="J90" s="7">
        <v>0.1</v>
      </c>
      <c r="K90" s="6">
        <v>28800</v>
      </c>
      <c r="L90" s="6">
        <v>17921.24412135614</v>
      </c>
      <c r="M90" s="6">
        <v>10878.75587864386</v>
      </c>
      <c r="N90" s="4" t="s">
        <v>79</v>
      </c>
      <c r="O90" s="4" t="s">
        <v>66</v>
      </c>
    </row>
    <row r="91" spans="1:15" x14ac:dyDescent="0.25">
      <c r="A91" s="4" t="s">
        <v>188</v>
      </c>
      <c r="B91" s="5">
        <v>45883</v>
      </c>
      <c r="C91" s="4" t="s">
        <v>90</v>
      </c>
      <c r="D91" s="4" t="s">
        <v>114</v>
      </c>
      <c r="E91" s="4" t="s">
        <v>51</v>
      </c>
      <c r="F91" s="4" t="s">
        <v>77</v>
      </c>
      <c r="G91" s="4" t="s">
        <v>78</v>
      </c>
      <c r="H91" s="4">
        <v>14</v>
      </c>
      <c r="I91" s="6">
        <v>6500</v>
      </c>
      <c r="J91" s="7">
        <v>0</v>
      </c>
      <c r="K91" s="6">
        <v>91000</v>
      </c>
      <c r="L91" s="6">
        <v>68346.80452895668</v>
      </c>
      <c r="M91" s="6">
        <v>22653.19547104332</v>
      </c>
      <c r="N91" s="4" t="s">
        <v>54</v>
      </c>
      <c r="O91" s="4" t="s">
        <v>55</v>
      </c>
    </row>
    <row r="92" spans="1:15" x14ac:dyDescent="0.25">
      <c r="A92" s="4" t="s">
        <v>189</v>
      </c>
      <c r="B92" s="5">
        <v>45793</v>
      </c>
      <c r="C92" s="4" t="s">
        <v>49</v>
      </c>
      <c r="D92" s="4" t="s">
        <v>76</v>
      </c>
      <c r="E92" s="4" t="s">
        <v>101</v>
      </c>
      <c r="F92" s="4" t="s">
        <v>77</v>
      </c>
      <c r="G92" s="4" t="s">
        <v>119</v>
      </c>
      <c r="H92" s="4">
        <v>14</v>
      </c>
      <c r="I92" s="6">
        <v>8000</v>
      </c>
      <c r="J92" s="7">
        <v>0</v>
      </c>
      <c r="K92" s="6">
        <v>112000</v>
      </c>
      <c r="L92" s="6">
        <v>63527.575674757943</v>
      </c>
      <c r="M92" s="6">
        <v>48472.424325242057</v>
      </c>
      <c r="N92" s="4" t="s">
        <v>54</v>
      </c>
      <c r="O92" s="4" t="s">
        <v>55</v>
      </c>
    </row>
    <row r="93" spans="1:15" x14ac:dyDescent="0.25">
      <c r="A93" s="4" t="s">
        <v>190</v>
      </c>
      <c r="B93" s="5">
        <v>45676</v>
      </c>
      <c r="C93" s="4" t="s">
        <v>49</v>
      </c>
      <c r="D93" s="4" t="s">
        <v>72</v>
      </c>
      <c r="E93" s="4" t="s">
        <v>51</v>
      </c>
      <c r="F93" s="4" t="s">
        <v>85</v>
      </c>
      <c r="G93" s="4" t="s">
        <v>116</v>
      </c>
      <c r="H93" s="4">
        <v>11</v>
      </c>
      <c r="I93" s="6">
        <v>3000</v>
      </c>
      <c r="J93" s="7">
        <v>0.1</v>
      </c>
      <c r="K93" s="6">
        <v>29700</v>
      </c>
      <c r="L93" s="6">
        <v>24771.38710205489</v>
      </c>
      <c r="M93" s="6">
        <v>4928.6128979451096</v>
      </c>
      <c r="N93" s="4" t="s">
        <v>65</v>
      </c>
      <c r="O93" s="4" t="s">
        <v>80</v>
      </c>
    </row>
    <row r="94" spans="1:15" x14ac:dyDescent="0.25">
      <c r="A94" s="4" t="s">
        <v>191</v>
      </c>
      <c r="B94" s="5">
        <v>46013</v>
      </c>
      <c r="C94" s="4" t="s">
        <v>61</v>
      </c>
      <c r="D94" s="4" t="s">
        <v>100</v>
      </c>
      <c r="E94" s="4" t="s">
        <v>63</v>
      </c>
      <c r="F94" s="4" t="s">
        <v>58</v>
      </c>
      <c r="G94" s="4" t="s">
        <v>70</v>
      </c>
      <c r="H94" s="4">
        <v>2</v>
      </c>
      <c r="I94" s="6">
        <v>9000</v>
      </c>
      <c r="J94" s="7">
        <v>0</v>
      </c>
      <c r="K94" s="6">
        <v>18000</v>
      </c>
      <c r="L94" s="6">
        <v>11736.829203879461</v>
      </c>
      <c r="M94" s="6">
        <v>6263.1707961205366</v>
      </c>
      <c r="N94" s="4" t="s">
        <v>65</v>
      </c>
      <c r="O94" s="4" t="s">
        <v>74</v>
      </c>
    </row>
    <row r="95" spans="1:15" x14ac:dyDescent="0.25">
      <c r="A95" s="4" t="s">
        <v>192</v>
      </c>
      <c r="B95" s="5">
        <v>45929</v>
      </c>
      <c r="C95" s="4" t="s">
        <v>68</v>
      </c>
      <c r="D95" s="4" t="s">
        <v>69</v>
      </c>
      <c r="E95" s="4" t="s">
        <v>123</v>
      </c>
      <c r="F95" s="4" t="s">
        <v>52</v>
      </c>
      <c r="G95" s="4" t="s">
        <v>98</v>
      </c>
      <c r="H95" s="4">
        <v>6</v>
      </c>
      <c r="I95" s="6">
        <v>80</v>
      </c>
      <c r="J95" s="7">
        <v>0.1</v>
      </c>
      <c r="K95" s="6">
        <v>432</v>
      </c>
      <c r="L95" s="6">
        <v>280.07090544521361</v>
      </c>
      <c r="M95" s="6">
        <v>151.92909455478639</v>
      </c>
      <c r="N95" s="4" t="s">
        <v>54</v>
      </c>
      <c r="O95" s="4" t="s">
        <v>66</v>
      </c>
    </row>
    <row r="96" spans="1:15" x14ac:dyDescent="0.25">
      <c r="A96" s="4" t="s">
        <v>193</v>
      </c>
      <c r="B96" s="5">
        <v>45956</v>
      </c>
      <c r="C96" s="4" t="s">
        <v>61</v>
      </c>
      <c r="D96" s="4" t="s">
        <v>83</v>
      </c>
      <c r="E96" s="4" t="s">
        <v>131</v>
      </c>
      <c r="F96" s="4" t="s">
        <v>58</v>
      </c>
      <c r="G96" s="4" t="s">
        <v>70</v>
      </c>
      <c r="H96" s="4">
        <v>10</v>
      </c>
      <c r="I96" s="6">
        <v>9000</v>
      </c>
      <c r="J96" s="7">
        <v>0</v>
      </c>
      <c r="K96" s="6">
        <v>90000</v>
      </c>
      <c r="L96" s="6">
        <v>59801.712124016587</v>
      </c>
      <c r="M96" s="6">
        <v>30198.287875983409</v>
      </c>
      <c r="N96" s="4" t="s">
        <v>65</v>
      </c>
      <c r="O96" s="4" t="s">
        <v>55</v>
      </c>
    </row>
    <row r="97" spans="1:15" x14ac:dyDescent="0.25">
      <c r="A97" s="4" t="s">
        <v>194</v>
      </c>
      <c r="B97" s="5">
        <v>46004</v>
      </c>
      <c r="C97" s="4" t="s">
        <v>68</v>
      </c>
      <c r="D97" s="4" t="s">
        <v>88</v>
      </c>
      <c r="E97" s="4" t="s">
        <v>131</v>
      </c>
      <c r="F97" s="4" t="s">
        <v>52</v>
      </c>
      <c r="G97" s="4" t="s">
        <v>64</v>
      </c>
      <c r="H97" s="4">
        <v>15</v>
      </c>
      <c r="I97" s="6">
        <v>120</v>
      </c>
      <c r="J97" s="7">
        <v>0.1</v>
      </c>
      <c r="K97" s="6">
        <v>1620</v>
      </c>
      <c r="L97" s="6">
        <v>1363.100701369938</v>
      </c>
      <c r="M97" s="6">
        <v>256.89929863006228</v>
      </c>
      <c r="N97" s="4" t="s">
        <v>65</v>
      </c>
      <c r="O97" s="4" t="s">
        <v>55</v>
      </c>
    </row>
    <row r="98" spans="1:15" x14ac:dyDescent="0.25">
      <c r="A98" s="4" t="s">
        <v>195</v>
      </c>
      <c r="B98" s="5">
        <v>45812</v>
      </c>
      <c r="C98" s="4" t="s">
        <v>68</v>
      </c>
      <c r="D98" s="4" t="s">
        <v>108</v>
      </c>
      <c r="E98" s="4" t="s">
        <v>57</v>
      </c>
      <c r="F98" s="4" t="s">
        <v>52</v>
      </c>
      <c r="G98" s="4" t="s">
        <v>110</v>
      </c>
      <c r="H98" s="4">
        <v>12</v>
      </c>
      <c r="I98" s="6">
        <v>180</v>
      </c>
      <c r="J98" s="7">
        <v>0.05</v>
      </c>
      <c r="K98" s="6">
        <v>2052</v>
      </c>
      <c r="L98" s="6">
        <v>1414.956031733356</v>
      </c>
      <c r="M98" s="6">
        <v>637.04396826664356</v>
      </c>
      <c r="N98" s="4" t="s">
        <v>79</v>
      </c>
      <c r="O98" s="4" t="s">
        <v>55</v>
      </c>
    </row>
    <row r="99" spans="1:15" x14ac:dyDescent="0.25">
      <c r="A99" s="4" t="s">
        <v>196</v>
      </c>
      <c r="B99" s="5">
        <v>45809</v>
      </c>
      <c r="C99" s="4" t="s">
        <v>49</v>
      </c>
      <c r="D99" s="4" t="s">
        <v>50</v>
      </c>
      <c r="E99" s="4" t="s">
        <v>84</v>
      </c>
      <c r="F99" s="4" t="s">
        <v>85</v>
      </c>
      <c r="G99" s="4" t="s">
        <v>116</v>
      </c>
      <c r="H99" s="4">
        <v>10</v>
      </c>
      <c r="I99" s="6">
        <v>3000</v>
      </c>
      <c r="J99" s="7">
        <v>0.05</v>
      </c>
      <c r="K99" s="6">
        <v>28500</v>
      </c>
      <c r="L99" s="6">
        <v>23349.575101025599</v>
      </c>
      <c r="M99" s="6">
        <v>5150.4248989744046</v>
      </c>
      <c r="N99" s="4" t="s">
        <v>54</v>
      </c>
      <c r="O99" s="4" t="s">
        <v>55</v>
      </c>
    </row>
    <row r="100" spans="1:15" x14ac:dyDescent="0.25">
      <c r="A100" s="4" t="s">
        <v>197</v>
      </c>
      <c r="B100" s="5">
        <v>45775</v>
      </c>
      <c r="C100" s="4" t="s">
        <v>68</v>
      </c>
      <c r="D100" s="4" t="s">
        <v>69</v>
      </c>
      <c r="E100" s="4" t="s">
        <v>101</v>
      </c>
      <c r="F100" s="4" t="s">
        <v>58</v>
      </c>
      <c r="G100" s="4" t="s">
        <v>70</v>
      </c>
      <c r="H100" s="4">
        <v>14</v>
      </c>
      <c r="I100" s="6">
        <v>9000</v>
      </c>
      <c r="J100" s="7">
        <v>0.05</v>
      </c>
      <c r="K100" s="6">
        <v>119700</v>
      </c>
      <c r="L100" s="6">
        <v>91780.973588905981</v>
      </c>
      <c r="M100" s="6">
        <v>27919.026411094019</v>
      </c>
      <c r="N100" s="4" t="s">
        <v>65</v>
      </c>
      <c r="O100" s="4" t="s">
        <v>66</v>
      </c>
    </row>
    <row r="101" spans="1:15" x14ac:dyDescent="0.25">
      <c r="A101" s="4" t="s">
        <v>198</v>
      </c>
      <c r="B101" s="5">
        <v>45883</v>
      </c>
      <c r="C101" s="4" t="s">
        <v>68</v>
      </c>
      <c r="D101" s="4" t="s">
        <v>108</v>
      </c>
      <c r="E101" s="4" t="s">
        <v>84</v>
      </c>
      <c r="F101" s="4" t="s">
        <v>77</v>
      </c>
      <c r="G101" s="4" t="s">
        <v>158</v>
      </c>
      <c r="H101" s="4">
        <v>15</v>
      </c>
      <c r="I101" s="6">
        <v>7000</v>
      </c>
      <c r="J101" s="7">
        <v>0</v>
      </c>
      <c r="K101" s="6">
        <v>105000</v>
      </c>
      <c r="L101" s="6">
        <v>65210.729147456157</v>
      </c>
      <c r="M101" s="6">
        <v>39789.270852543843</v>
      </c>
      <c r="N101" s="4" t="s">
        <v>54</v>
      </c>
      <c r="O101" s="4" t="s">
        <v>80</v>
      </c>
    </row>
    <row r="102" spans="1:15" x14ac:dyDescent="0.25">
      <c r="A102" s="4" t="s">
        <v>199</v>
      </c>
      <c r="B102" s="5">
        <v>45725</v>
      </c>
      <c r="C102" s="4" t="s">
        <v>61</v>
      </c>
      <c r="D102" s="4" t="s">
        <v>83</v>
      </c>
      <c r="E102" s="4" t="s">
        <v>101</v>
      </c>
      <c r="F102" s="4" t="s">
        <v>52</v>
      </c>
      <c r="G102" s="4" t="s">
        <v>98</v>
      </c>
      <c r="H102" s="4">
        <v>12</v>
      </c>
      <c r="I102" s="6">
        <v>80</v>
      </c>
      <c r="J102" s="7">
        <v>0.1</v>
      </c>
      <c r="K102" s="6">
        <v>864</v>
      </c>
      <c r="L102" s="6">
        <v>566.78132755410297</v>
      </c>
      <c r="M102" s="6">
        <v>297.21867244589703</v>
      </c>
      <c r="N102" s="4" t="s">
        <v>54</v>
      </c>
      <c r="O102" s="4" t="s">
        <v>80</v>
      </c>
    </row>
    <row r="103" spans="1:15" x14ac:dyDescent="0.25">
      <c r="A103" s="4" t="s">
        <v>200</v>
      </c>
      <c r="B103" s="5">
        <v>45897</v>
      </c>
      <c r="C103" s="4" t="s">
        <v>61</v>
      </c>
      <c r="D103" s="4" t="s">
        <v>62</v>
      </c>
      <c r="E103" s="4" t="s">
        <v>51</v>
      </c>
      <c r="F103" s="4" t="s">
        <v>85</v>
      </c>
      <c r="G103" s="4" t="s">
        <v>116</v>
      </c>
      <c r="H103" s="4">
        <v>12</v>
      </c>
      <c r="I103" s="6">
        <v>3000</v>
      </c>
      <c r="J103" s="7">
        <v>0.05</v>
      </c>
      <c r="K103" s="6">
        <v>34200</v>
      </c>
      <c r="L103" s="6">
        <v>26459.04541964535</v>
      </c>
      <c r="M103" s="6">
        <v>7740.9545803546498</v>
      </c>
      <c r="N103" s="4" t="s">
        <v>65</v>
      </c>
      <c r="O103" s="4" t="s">
        <v>66</v>
      </c>
    </row>
    <row r="104" spans="1:15" x14ac:dyDescent="0.25">
      <c r="A104" s="4" t="s">
        <v>201</v>
      </c>
      <c r="B104" s="5">
        <v>45932</v>
      </c>
      <c r="C104" s="4" t="s">
        <v>90</v>
      </c>
      <c r="D104" s="4" t="s">
        <v>91</v>
      </c>
      <c r="E104" s="4" t="s">
        <v>51</v>
      </c>
      <c r="F104" s="4" t="s">
        <v>52</v>
      </c>
      <c r="G104" s="4" t="s">
        <v>64</v>
      </c>
      <c r="H104" s="4">
        <v>13</v>
      </c>
      <c r="I104" s="6">
        <v>120</v>
      </c>
      <c r="J104" s="7">
        <v>0.1</v>
      </c>
      <c r="K104" s="6">
        <v>1404</v>
      </c>
      <c r="L104" s="6">
        <v>862.9940134502034</v>
      </c>
      <c r="M104" s="6">
        <v>541.0059865497966</v>
      </c>
      <c r="N104" s="4" t="s">
        <v>79</v>
      </c>
      <c r="O104" s="4" t="s">
        <v>80</v>
      </c>
    </row>
    <row r="105" spans="1:15" x14ac:dyDescent="0.25">
      <c r="A105" s="4" t="s">
        <v>202</v>
      </c>
      <c r="B105" s="5">
        <v>45975</v>
      </c>
      <c r="C105" s="4" t="s">
        <v>68</v>
      </c>
      <c r="D105" s="4" t="s">
        <v>108</v>
      </c>
      <c r="E105" s="4" t="s">
        <v>101</v>
      </c>
      <c r="F105" s="4" t="s">
        <v>85</v>
      </c>
      <c r="G105" s="4" t="s">
        <v>116</v>
      </c>
      <c r="H105" s="4">
        <v>2</v>
      </c>
      <c r="I105" s="6">
        <v>3000</v>
      </c>
      <c r="J105" s="7">
        <v>0</v>
      </c>
      <c r="K105" s="6">
        <v>6000</v>
      </c>
      <c r="L105" s="6">
        <v>3950.6380778143848</v>
      </c>
      <c r="M105" s="6">
        <v>2049.3619221856152</v>
      </c>
      <c r="N105" s="4" t="s">
        <v>54</v>
      </c>
      <c r="O105" s="4" t="s">
        <v>66</v>
      </c>
    </row>
    <row r="106" spans="1:15" x14ac:dyDescent="0.25">
      <c r="A106" s="4" t="s">
        <v>203</v>
      </c>
      <c r="B106" s="5">
        <v>45681</v>
      </c>
      <c r="C106" s="4" t="s">
        <v>49</v>
      </c>
      <c r="D106" s="4" t="s">
        <v>76</v>
      </c>
      <c r="E106" s="4" t="s">
        <v>84</v>
      </c>
      <c r="F106" s="4" t="s">
        <v>85</v>
      </c>
      <c r="G106" s="4" t="s">
        <v>116</v>
      </c>
      <c r="H106" s="4">
        <v>11</v>
      </c>
      <c r="I106" s="6">
        <v>3000</v>
      </c>
      <c r="J106" s="7">
        <v>0.1</v>
      </c>
      <c r="K106" s="6">
        <v>29700</v>
      </c>
      <c r="L106" s="6">
        <v>19035.570359758349</v>
      </c>
      <c r="M106" s="6">
        <v>10664.429640241649</v>
      </c>
      <c r="N106" s="4" t="s">
        <v>79</v>
      </c>
      <c r="O106" s="4" t="s">
        <v>55</v>
      </c>
    </row>
    <row r="107" spans="1:15" x14ac:dyDescent="0.25">
      <c r="A107" s="4" t="s">
        <v>204</v>
      </c>
      <c r="B107" s="5">
        <v>46014</v>
      </c>
      <c r="C107" s="4" t="s">
        <v>49</v>
      </c>
      <c r="D107" s="4" t="s">
        <v>50</v>
      </c>
      <c r="E107" s="4" t="s">
        <v>123</v>
      </c>
      <c r="F107" s="4" t="s">
        <v>77</v>
      </c>
      <c r="G107" s="4" t="s">
        <v>95</v>
      </c>
      <c r="H107" s="4">
        <v>7</v>
      </c>
      <c r="I107" s="6">
        <v>11000</v>
      </c>
      <c r="J107" s="7">
        <v>0.1</v>
      </c>
      <c r="K107" s="6">
        <v>69300</v>
      </c>
      <c r="L107" s="6">
        <v>48920.613939272691</v>
      </c>
      <c r="M107" s="6">
        <v>20379.386060727309</v>
      </c>
      <c r="N107" s="4" t="s">
        <v>54</v>
      </c>
      <c r="O107" s="4" t="s">
        <v>66</v>
      </c>
    </row>
    <row r="108" spans="1:15" x14ac:dyDescent="0.25">
      <c r="A108" s="4" t="s">
        <v>205</v>
      </c>
      <c r="B108" s="5">
        <v>45801</v>
      </c>
      <c r="C108" s="4" t="s">
        <v>90</v>
      </c>
      <c r="D108" s="4" t="s">
        <v>91</v>
      </c>
      <c r="E108" s="4" t="s">
        <v>84</v>
      </c>
      <c r="F108" s="4" t="s">
        <v>58</v>
      </c>
      <c r="G108" s="4" t="s">
        <v>70</v>
      </c>
      <c r="H108" s="4">
        <v>10</v>
      </c>
      <c r="I108" s="6">
        <v>9000</v>
      </c>
      <c r="J108" s="7">
        <v>0.1</v>
      </c>
      <c r="K108" s="6">
        <v>81000</v>
      </c>
      <c r="L108" s="6">
        <v>68938.39846027267</v>
      </c>
      <c r="M108" s="6">
        <v>12061.60153972733</v>
      </c>
      <c r="N108" s="4" t="s">
        <v>54</v>
      </c>
      <c r="O108" s="4" t="s">
        <v>80</v>
      </c>
    </row>
    <row r="109" spans="1:15" x14ac:dyDescent="0.25">
      <c r="A109" s="4" t="s">
        <v>206</v>
      </c>
      <c r="B109" s="5">
        <v>46009</v>
      </c>
      <c r="C109" s="4" t="s">
        <v>61</v>
      </c>
      <c r="D109" s="4" t="s">
        <v>62</v>
      </c>
      <c r="E109" s="4" t="s">
        <v>101</v>
      </c>
      <c r="F109" s="4" t="s">
        <v>85</v>
      </c>
      <c r="G109" s="4" t="s">
        <v>92</v>
      </c>
      <c r="H109" s="4">
        <v>14</v>
      </c>
      <c r="I109" s="6">
        <v>2200</v>
      </c>
      <c r="J109" s="7">
        <v>0.05</v>
      </c>
      <c r="K109" s="6">
        <v>29260</v>
      </c>
      <c r="L109" s="6">
        <v>17643.828160709829</v>
      </c>
      <c r="M109" s="6">
        <v>11616.171839290169</v>
      </c>
      <c r="N109" s="4" t="s">
        <v>54</v>
      </c>
      <c r="O109" s="4" t="s">
        <v>80</v>
      </c>
    </row>
    <row r="110" spans="1:15" x14ac:dyDescent="0.25">
      <c r="A110" s="4" t="s">
        <v>207</v>
      </c>
      <c r="B110" s="5">
        <v>45766</v>
      </c>
      <c r="C110" s="4" t="s">
        <v>49</v>
      </c>
      <c r="D110" s="4" t="s">
        <v>72</v>
      </c>
      <c r="E110" s="4" t="s">
        <v>84</v>
      </c>
      <c r="F110" s="4" t="s">
        <v>52</v>
      </c>
      <c r="G110" s="4" t="s">
        <v>53</v>
      </c>
      <c r="H110" s="4">
        <v>2</v>
      </c>
      <c r="I110" s="6">
        <v>250</v>
      </c>
      <c r="J110" s="7">
        <v>0.1</v>
      </c>
      <c r="K110" s="6">
        <v>450</v>
      </c>
      <c r="L110" s="6">
        <v>285.54244373901491</v>
      </c>
      <c r="M110" s="6">
        <v>164.45755626098509</v>
      </c>
      <c r="N110" s="4" t="s">
        <v>65</v>
      </c>
      <c r="O110" s="4" t="s">
        <v>80</v>
      </c>
    </row>
    <row r="111" spans="1:15" x14ac:dyDescent="0.25">
      <c r="A111" s="4" t="s">
        <v>208</v>
      </c>
      <c r="B111" s="5">
        <v>45768</v>
      </c>
      <c r="C111" s="4" t="s">
        <v>61</v>
      </c>
      <c r="D111" s="4" t="s">
        <v>83</v>
      </c>
      <c r="E111" s="4" t="s">
        <v>57</v>
      </c>
      <c r="F111" s="4" t="s">
        <v>77</v>
      </c>
      <c r="G111" s="4" t="s">
        <v>158</v>
      </c>
      <c r="H111" s="4">
        <v>14</v>
      </c>
      <c r="I111" s="6">
        <v>7000</v>
      </c>
      <c r="J111" s="7">
        <v>0.15</v>
      </c>
      <c r="K111" s="6">
        <v>83300</v>
      </c>
      <c r="L111" s="6">
        <v>58569.327127613687</v>
      </c>
      <c r="M111" s="6">
        <v>24730.672872386309</v>
      </c>
      <c r="N111" s="4" t="s">
        <v>79</v>
      </c>
      <c r="O111" s="4" t="s">
        <v>66</v>
      </c>
    </row>
    <row r="112" spans="1:15" x14ac:dyDescent="0.25">
      <c r="A112" s="4" t="s">
        <v>209</v>
      </c>
      <c r="B112" s="5">
        <v>45714</v>
      </c>
      <c r="C112" s="4" t="s">
        <v>49</v>
      </c>
      <c r="D112" s="4" t="s">
        <v>72</v>
      </c>
      <c r="E112" s="4" t="s">
        <v>84</v>
      </c>
      <c r="F112" s="4" t="s">
        <v>77</v>
      </c>
      <c r="G112" s="4" t="s">
        <v>95</v>
      </c>
      <c r="H112" s="4">
        <v>9</v>
      </c>
      <c r="I112" s="6">
        <v>11000</v>
      </c>
      <c r="J112" s="7">
        <v>0.05</v>
      </c>
      <c r="K112" s="6">
        <v>94050</v>
      </c>
      <c r="L112" s="6">
        <v>72632.1597624071</v>
      </c>
      <c r="M112" s="6">
        <v>21417.8402375929</v>
      </c>
      <c r="N112" s="4" t="s">
        <v>65</v>
      </c>
      <c r="O112" s="4" t="s">
        <v>74</v>
      </c>
    </row>
    <row r="113" spans="1:15" x14ac:dyDescent="0.25">
      <c r="A113" s="4" t="s">
        <v>210</v>
      </c>
      <c r="B113" s="5">
        <v>45873</v>
      </c>
      <c r="C113" s="4" t="s">
        <v>68</v>
      </c>
      <c r="D113" s="4" t="s">
        <v>69</v>
      </c>
      <c r="E113" s="4" t="s">
        <v>51</v>
      </c>
      <c r="F113" s="4" t="s">
        <v>52</v>
      </c>
      <c r="G113" s="4" t="s">
        <v>64</v>
      </c>
      <c r="H113" s="4">
        <v>3</v>
      </c>
      <c r="I113" s="6">
        <v>120</v>
      </c>
      <c r="J113" s="7">
        <v>0.05</v>
      </c>
      <c r="K113" s="6">
        <v>342</v>
      </c>
      <c r="L113" s="6">
        <v>202.3386386789054</v>
      </c>
      <c r="M113" s="6">
        <v>139.6613613210946</v>
      </c>
      <c r="N113" s="4" t="s">
        <v>54</v>
      </c>
      <c r="O113" s="4" t="s">
        <v>74</v>
      </c>
    </row>
    <row r="114" spans="1:15" x14ac:dyDescent="0.25">
      <c r="A114" s="4" t="s">
        <v>211</v>
      </c>
      <c r="B114" s="5">
        <v>45972</v>
      </c>
      <c r="C114" s="4" t="s">
        <v>90</v>
      </c>
      <c r="D114" s="4" t="s">
        <v>94</v>
      </c>
      <c r="E114" s="4" t="s">
        <v>84</v>
      </c>
      <c r="F114" s="4" t="s">
        <v>52</v>
      </c>
      <c r="G114" s="4" t="s">
        <v>64</v>
      </c>
      <c r="H114" s="4">
        <v>8</v>
      </c>
      <c r="I114" s="6">
        <v>120</v>
      </c>
      <c r="J114" s="7">
        <v>0.15</v>
      </c>
      <c r="K114" s="6">
        <v>816</v>
      </c>
      <c r="L114" s="6">
        <v>576.91818621715743</v>
      </c>
      <c r="M114" s="6">
        <v>239.0818137828426</v>
      </c>
      <c r="N114" s="4" t="s">
        <v>54</v>
      </c>
      <c r="O114" s="4" t="s">
        <v>80</v>
      </c>
    </row>
    <row r="115" spans="1:15" x14ac:dyDescent="0.25">
      <c r="A115" s="4" t="s">
        <v>212</v>
      </c>
      <c r="B115" s="5">
        <v>45713</v>
      </c>
      <c r="C115" s="4" t="s">
        <v>90</v>
      </c>
      <c r="D115" s="4" t="s">
        <v>91</v>
      </c>
      <c r="E115" s="4" t="s">
        <v>105</v>
      </c>
      <c r="F115" s="4" t="s">
        <v>58</v>
      </c>
      <c r="G115" s="4" t="s">
        <v>103</v>
      </c>
      <c r="H115" s="4">
        <v>8</v>
      </c>
      <c r="I115" s="6">
        <v>55000</v>
      </c>
      <c r="J115" s="7">
        <v>0.1</v>
      </c>
      <c r="K115" s="6">
        <v>396000</v>
      </c>
      <c r="L115" s="6">
        <v>285138.8902711352</v>
      </c>
      <c r="M115" s="6">
        <v>110861.1097288648</v>
      </c>
      <c r="N115" s="4" t="s">
        <v>54</v>
      </c>
      <c r="O115" s="4" t="s">
        <v>55</v>
      </c>
    </row>
    <row r="116" spans="1:15" x14ac:dyDescent="0.25">
      <c r="A116" s="4" t="s">
        <v>213</v>
      </c>
      <c r="B116" s="5">
        <v>45982</v>
      </c>
      <c r="C116" s="4" t="s">
        <v>49</v>
      </c>
      <c r="D116" s="4" t="s">
        <v>50</v>
      </c>
      <c r="E116" s="4" t="s">
        <v>101</v>
      </c>
      <c r="F116" s="4" t="s">
        <v>52</v>
      </c>
      <c r="G116" s="4" t="s">
        <v>53</v>
      </c>
      <c r="H116" s="4">
        <v>2</v>
      </c>
      <c r="I116" s="6">
        <v>250</v>
      </c>
      <c r="J116" s="7">
        <v>0</v>
      </c>
      <c r="K116" s="6">
        <v>500</v>
      </c>
      <c r="L116" s="6">
        <v>306.62683994916461</v>
      </c>
      <c r="M116" s="6">
        <v>193.37316005083539</v>
      </c>
      <c r="N116" s="4" t="s">
        <v>79</v>
      </c>
      <c r="O116" s="4" t="s">
        <v>80</v>
      </c>
    </row>
    <row r="117" spans="1:15" x14ac:dyDescent="0.25">
      <c r="A117" s="4" t="s">
        <v>214</v>
      </c>
      <c r="B117" s="5">
        <v>45991</v>
      </c>
      <c r="C117" s="4" t="s">
        <v>90</v>
      </c>
      <c r="D117" s="4" t="s">
        <v>91</v>
      </c>
      <c r="E117" s="4" t="s">
        <v>57</v>
      </c>
      <c r="F117" s="4" t="s">
        <v>85</v>
      </c>
      <c r="G117" s="4" t="s">
        <v>106</v>
      </c>
      <c r="H117" s="4">
        <v>13</v>
      </c>
      <c r="I117" s="6">
        <v>900</v>
      </c>
      <c r="J117" s="7">
        <v>0</v>
      </c>
      <c r="K117" s="6">
        <v>11700</v>
      </c>
      <c r="L117" s="6">
        <v>8729.8652560623923</v>
      </c>
      <c r="M117" s="6">
        <v>2970.1347439376082</v>
      </c>
      <c r="N117" s="4" t="s">
        <v>79</v>
      </c>
      <c r="O117" s="4" t="s">
        <v>55</v>
      </c>
    </row>
    <row r="118" spans="1:15" x14ac:dyDescent="0.25">
      <c r="A118" s="4" t="s">
        <v>215</v>
      </c>
      <c r="B118" s="5">
        <v>45818</v>
      </c>
      <c r="C118" s="4" t="s">
        <v>61</v>
      </c>
      <c r="D118" s="4" t="s">
        <v>62</v>
      </c>
      <c r="E118" s="4" t="s">
        <v>123</v>
      </c>
      <c r="F118" s="4" t="s">
        <v>52</v>
      </c>
      <c r="G118" s="4" t="s">
        <v>110</v>
      </c>
      <c r="H118" s="4">
        <v>7</v>
      </c>
      <c r="I118" s="6">
        <v>180</v>
      </c>
      <c r="J118" s="7">
        <v>0.1</v>
      </c>
      <c r="K118" s="6">
        <v>1134</v>
      </c>
      <c r="L118" s="6">
        <v>904.44170471247935</v>
      </c>
      <c r="M118" s="6">
        <v>229.55829528752071</v>
      </c>
      <c r="N118" s="4" t="s">
        <v>79</v>
      </c>
      <c r="O118" s="4" t="s">
        <v>80</v>
      </c>
    </row>
    <row r="119" spans="1:15" x14ac:dyDescent="0.25">
      <c r="A119" s="4" t="s">
        <v>216</v>
      </c>
      <c r="B119" s="5">
        <v>45707</v>
      </c>
      <c r="C119" s="4" t="s">
        <v>68</v>
      </c>
      <c r="D119" s="4" t="s">
        <v>69</v>
      </c>
      <c r="E119" s="4" t="s">
        <v>101</v>
      </c>
      <c r="F119" s="4" t="s">
        <v>85</v>
      </c>
      <c r="G119" s="4" t="s">
        <v>106</v>
      </c>
      <c r="H119" s="4">
        <v>2</v>
      </c>
      <c r="I119" s="6">
        <v>900</v>
      </c>
      <c r="J119" s="7">
        <v>0</v>
      </c>
      <c r="K119" s="6">
        <v>1800</v>
      </c>
      <c r="L119" s="6">
        <v>1028.5972621053229</v>
      </c>
      <c r="M119" s="6">
        <v>771.40273789467733</v>
      </c>
      <c r="N119" s="4" t="s">
        <v>65</v>
      </c>
      <c r="O119" s="4" t="s">
        <v>74</v>
      </c>
    </row>
    <row r="120" spans="1:15" x14ac:dyDescent="0.25">
      <c r="A120" s="4" t="s">
        <v>217</v>
      </c>
      <c r="B120" s="5">
        <v>45684</v>
      </c>
      <c r="C120" s="4" t="s">
        <v>68</v>
      </c>
      <c r="D120" s="4" t="s">
        <v>108</v>
      </c>
      <c r="E120" s="4" t="s">
        <v>63</v>
      </c>
      <c r="F120" s="4" t="s">
        <v>58</v>
      </c>
      <c r="G120" s="4" t="s">
        <v>70</v>
      </c>
      <c r="H120" s="4">
        <v>6</v>
      </c>
      <c r="I120" s="6">
        <v>9000</v>
      </c>
      <c r="J120" s="7">
        <v>0.1</v>
      </c>
      <c r="K120" s="6">
        <v>48600</v>
      </c>
      <c r="L120" s="6">
        <v>40481.704488953786</v>
      </c>
      <c r="M120" s="6">
        <v>8118.2955110462144</v>
      </c>
      <c r="N120" s="4" t="s">
        <v>54</v>
      </c>
      <c r="O120" s="4" t="s">
        <v>80</v>
      </c>
    </row>
    <row r="121" spans="1:15" x14ac:dyDescent="0.25">
      <c r="A121" s="4" t="s">
        <v>218</v>
      </c>
      <c r="B121" s="5">
        <v>45713</v>
      </c>
      <c r="C121" s="4" t="s">
        <v>68</v>
      </c>
      <c r="D121" s="4" t="s">
        <v>69</v>
      </c>
      <c r="E121" s="4" t="s">
        <v>101</v>
      </c>
      <c r="F121" s="4" t="s">
        <v>77</v>
      </c>
      <c r="G121" s="4" t="s">
        <v>95</v>
      </c>
      <c r="H121" s="4">
        <v>11</v>
      </c>
      <c r="I121" s="6">
        <v>11000</v>
      </c>
      <c r="J121" s="7">
        <v>0.1</v>
      </c>
      <c r="K121" s="6">
        <v>108900</v>
      </c>
      <c r="L121" s="6">
        <v>72790.73470726356</v>
      </c>
      <c r="M121" s="6">
        <v>36109.26529273644</v>
      </c>
      <c r="N121" s="4" t="s">
        <v>54</v>
      </c>
      <c r="O121" s="4" t="s">
        <v>80</v>
      </c>
    </row>
    <row r="122" spans="1:15" x14ac:dyDescent="0.25">
      <c r="A122" s="4" t="s">
        <v>219</v>
      </c>
      <c r="B122" s="5">
        <v>45976</v>
      </c>
      <c r="C122" s="4" t="s">
        <v>49</v>
      </c>
      <c r="D122" s="4" t="s">
        <v>72</v>
      </c>
      <c r="E122" s="4" t="s">
        <v>84</v>
      </c>
      <c r="F122" s="4" t="s">
        <v>77</v>
      </c>
      <c r="G122" s="4" t="s">
        <v>119</v>
      </c>
      <c r="H122" s="4">
        <v>14</v>
      </c>
      <c r="I122" s="6">
        <v>8000</v>
      </c>
      <c r="J122" s="7">
        <v>0.15</v>
      </c>
      <c r="K122" s="6">
        <v>95200</v>
      </c>
      <c r="L122" s="6">
        <v>86704.320470758248</v>
      </c>
      <c r="M122" s="6">
        <v>8495.6795292417519</v>
      </c>
      <c r="N122" s="4" t="s">
        <v>54</v>
      </c>
      <c r="O122" s="4" t="s">
        <v>80</v>
      </c>
    </row>
    <row r="123" spans="1:15" x14ac:dyDescent="0.25">
      <c r="A123" s="4" t="s">
        <v>220</v>
      </c>
      <c r="B123" s="5">
        <v>45750</v>
      </c>
      <c r="C123" s="4" t="s">
        <v>49</v>
      </c>
      <c r="D123" s="4" t="s">
        <v>50</v>
      </c>
      <c r="E123" s="4" t="s">
        <v>131</v>
      </c>
      <c r="F123" s="4" t="s">
        <v>52</v>
      </c>
      <c r="G123" s="4" t="s">
        <v>98</v>
      </c>
      <c r="H123" s="4">
        <v>15</v>
      </c>
      <c r="I123" s="6">
        <v>80</v>
      </c>
      <c r="J123" s="7">
        <v>0.05</v>
      </c>
      <c r="K123" s="6">
        <v>1140</v>
      </c>
      <c r="L123" s="6">
        <v>756.88246412340698</v>
      </c>
      <c r="M123" s="6">
        <v>383.11753587659302</v>
      </c>
      <c r="N123" s="4" t="s">
        <v>54</v>
      </c>
      <c r="O123" s="4" t="s">
        <v>55</v>
      </c>
    </row>
    <row r="124" spans="1:15" x14ac:dyDescent="0.25">
      <c r="A124" s="4" t="s">
        <v>221</v>
      </c>
      <c r="B124" s="5">
        <v>45872</v>
      </c>
      <c r="C124" s="4" t="s">
        <v>49</v>
      </c>
      <c r="D124" s="4" t="s">
        <v>50</v>
      </c>
      <c r="E124" s="4" t="s">
        <v>105</v>
      </c>
      <c r="F124" s="4" t="s">
        <v>58</v>
      </c>
      <c r="G124" s="4" t="s">
        <v>103</v>
      </c>
      <c r="H124" s="4">
        <v>12</v>
      </c>
      <c r="I124" s="6">
        <v>55000</v>
      </c>
      <c r="J124" s="7">
        <v>0.15</v>
      </c>
      <c r="K124" s="6">
        <v>561000</v>
      </c>
      <c r="L124" s="6">
        <v>395657.17118908698</v>
      </c>
      <c r="M124" s="6">
        <v>165342.82881091299</v>
      </c>
      <c r="N124" s="4" t="s">
        <v>79</v>
      </c>
      <c r="O124" s="4" t="s">
        <v>66</v>
      </c>
    </row>
    <row r="125" spans="1:15" x14ac:dyDescent="0.25">
      <c r="A125" s="4" t="s">
        <v>222</v>
      </c>
      <c r="B125" s="5">
        <v>45974</v>
      </c>
      <c r="C125" s="4" t="s">
        <v>68</v>
      </c>
      <c r="D125" s="4" t="s">
        <v>88</v>
      </c>
      <c r="E125" s="4" t="s">
        <v>84</v>
      </c>
      <c r="F125" s="4" t="s">
        <v>52</v>
      </c>
      <c r="G125" s="4" t="s">
        <v>64</v>
      </c>
      <c r="H125" s="4">
        <v>15</v>
      </c>
      <c r="I125" s="6">
        <v>120</v>
      </c>
      <c r="J125" s="7">
        <v>0</v>
      </c>
      <c r="K125" s="6">
        <v>1800</v>
      </c>
      <c r="L125" s="6">
        <v>1054.4100800094579</v>
      </c>
      <c r="M125" s="6">
        <v>745.58991999054183</v>
      </c>
      <c r="N125" s="4" t="s">
        <v>54</v>
      </c>
      <c r="O125" s="4" t="s">
        <v>74</v>
      </c>
    </row>
    <row r="126" spans="1:15" x14ac:dyDescent="0.25">
      <c r="A126" s="4" t="s">
        <v>223</v>
      </c>
      <c r="B126" s="5">
        <v>45768</v>
      </c>
      <c r="C126" s="4" t="s">
        <v>68</v>
      </c>
      <c r="D126" s="4" t="s">
        <v>88</v>
      </c>
      <c r="E126" s="4" t="s">
        <v>51</v>
      </c>
      <c r="F126" s="4" t="s">
        <v>85</v>
      </c>
      <c r="G126" s="4" t="s">
        <v>86</v>
      </c>
      <c r="H126" s="4">
        <v>10</v>
      </c>
      <c r="I126" s="6">
        <v>1200</v>
      </c>
      <c r="J126" s="7">
        <v>0.1</v>
      </c>
      <c r="K126" s="6">
        <v>10800</v>
      </c>
      <c r="L126" s="6">
        <v>7743.1471165563207</v>
      </c>
      <c r="M126" s="6">
        <v>3056.8528834436788</v>
      </c>
      <c r="N126" s="4" t="s">
        <v>79</v>
      </c>
      <c r="O126" s="4" t="s">
        <v>55</v>
      </c>
    </row>
    <row r="127" spans="1:15" x14ac:dyDescent="0.25">
      <c r="A127" s="4" t="s">
        <v>224</v>
      </c>
      <c r="B127" s="5">
        <v>45964</v>
      </c>
      <c r="C127" s="4" t="s">
        <v>49</v>
      </c>
      <c r="D127" s="4" t="s">
        <v>72</v>
      </c>
      <c r="E127" s="4" t="s">
        <v>84</v>
      </c>
      <c r="F127" s="4" t="s">
        <v>85</v>
      </c>
      <c r="G127" s="4" t="s">
        <v>116</v>
      </c>
      <c r="H127" s="4">
        <v>1</v>
      </c>
      <c r="I127" s="6">
        <v>3000</v>
      </c>
      <c r="J127" s="7">
        <v>0</v>
      </c>
      <c r="K127" s="6">
        <v>3000</v>
      </c>
      <c r="L127" s="6">
        <v>1922.7317433004639</v>
      </c>
      <c r="M127" s="6">
        <v>1077.2682566995361</v>
      </c>
      <c r="N127" s="4" t="s">
        <v>65</v>
      </c>
      <c r="O127" s="4" t="s">
        <v>66</v>
      </c>
    </row>
    <row r="128" spans="1:15" x14ac:dyDescent="0.25">
      <c r="A128" s="4" t="s">
        <v>225</v>
      </c>
      <c r="B128" s="5">
        <v>45912</v>
      </c>
      <c r="C128" s="4" t="s">
        <v>68</v>
      </c>
      <c r="D128" s="4" t="s">
        <v>69</v>
      </c>
      <c r="E128" s="4" t="s">
        <v>123</v>
      </c>
      <c r="F128" s="4" t="s">
        <v>77</v>
      </c>
      <c r="G128" s="4" t="s">
        <v>78</v>
      </c>
      <c r="H128" s="4">
        <v>5</v>
      </c>
      <c r="I128" s="6">
        <v>6500</v>
      </c>
      <c r="J128" s="7">
        <v>0.05</v>
      </c>
      <c r="K128" s="6">
        <v>30875</v>
      </c>
      <c r="L128" s="6">
        <v>18771.882969198981</v>
      </c>
      <c r="M128" s="6">
        <v>12103.117030801021</v>
      </c>
      <c r="N128" s="4" t="s">
        <v>65</v>
      </c>
      <c r="O128" s="4" t="s">
        <v>66</v>
      </c>
    </row>
    <row r="129" spans="1:15" x14ac:dyDescent="0.25">
      <c r="A129" s="4" t="s">
        <v>226</v>
      </c>
      <c r="B129" s="5">
        <v>45679</v>
      </c>
      <c r="C129" s="4" t="s">
        <v>90</v>
      </c>
      <c r="D129" s="4" t="s">
        <v>91</v>
      </c>
      <c r="E129" s="4" t="s">
        <v>123</v>
      </c>
      <c r="F129" s="4" t="s">
        <v>77</v>
      </c>
      <c r="G129" s="4" t="s">
        <v>78</v>
      </c>
      <c r="H129" s="4">
        <v>2</v>
      </c>
      <c r="I129" s="6">
        <v>6500</v>
      </c>
      <c r="J129" s="7">
        <v>0.1</v>
      </c>
      <c r="K129" s="6">
        <v>11700</v>
      </c>
      <c r="L129" s="6">
        <v>9726.6754424475403</v>
      </c>
      <c r="M129" s="6">
        <v>1973.32455755246</v>
      </c>
      <c r="N129" s="4" t="s">
        <v>65</v>
      </c>
      <c r="O129" s="4" t="s">
        <v>55</v>
      </c>
    </row>
    <row r="130" spans="1:15" x14ac:dyDescent="0.25">
      <c r="A130" s="4" t="s">
        <v>227</v>
      </c>
      <c r="B130" s="5">
        <v>45865</v>
      </c>
      <c r="C130" s="4" t="s">
        <v>49</v>
      </c>
      <c r="D130" s="4" t="s">
        <v>72</v>
      </c>
      <c r="E130" s="4" t="s">
        <v>84</v>
      </c>
      <c r="F130" s="4" t="s">
        <v>85</v>
      </c>
      <c r="G130" s="4" t="s">
        <v>86</v>
      </c>
      <c r="H130" s="4">
        <v>12</v>
      </c>
      <c r="I130" s="6">
        <v>1200</v>
      </c>
      <c r="J130" s="7">
        <v>0.1</v>
      </c>
      <c r="K130" s="6">
        <v>12960</v>
      </c>
      <c r="L130" s="6">
        <v>8878.8743609000321</v>
      </c>
      <c r="M130" s="6">
        <v>4081.1256390999679</v>
      </c>
      <c r="N130" s="4" t="s">
        <v>79</v>
      </c>
      <c r="O130" s="4" t="s">
        <v>66</v>
      </c>
    </row>
    <row r="131" spans="1:15" x14ac:dyDescent="0.25">
      <c r="A131" s="4" t="s">
        <v>228</v>
      </c>
      <c r="B131" s="5">
        <v>45959</v>
      </c>
      <c r="C131" s="4" t="s">
        <v>90</v>
      </c>
      <c r="D131" s="4" t="s">
        <v>91</v>
      </c>
      <c r="E131" s="4" t="s">
        <v>123</v>
      </c>
      <c r="F131" s="4" t="s">
        <v>52</v>
      </c>
      <c r="G131" s="4" t="s">
        <v>64</v>
      </c>
      <c r="H131" s="4">
        <v>7</v>
      </c>
      <c r="I131" s="6">
        <v>120</v>
      </c>
      <c r="J131" s="7">
        <v>0</v>
      </c>
      <c r="K131" s="6">
        <v>840</v>
      </c>
      <c r="L131" s="6">
        <v>509.00874293575208</v>
      </c>
      <c r="M131" s="6">
        <v>330.99125706424792</v>
      </c>
      <c r="N131" s="4" t="s">
        <v>54</v>
      </c>
      <c r="O131" s="4" t="s">
        <v>74</v>
      </c>
    </row>
    <row r="132" spans="1:15" x14ac:dyDescent="0.25">
      <c r="A132" s="4" t="s">
        <v>229</v>
      </c>
      <c r="B132" s="5">
        <v>45982</v>
      </c>
      <c r="C132" s="4" t="s">
        <v>90</v>
      </c>
      <c r="D132" s="4" t="s">
        <v>94</v>
      </c>
      <c r="E132" s="4" t="s">
        <v>51</v>
      </c>
      <c r="F132" s="4" t="s">
        <v>52</v>
      </c>
      <c r="G132" s="4" t="s">
        <v>53</v>
      </c>
      <c r="H132" s="4">
        <v>6</v>
      </c>
      <c r="I132" s="6">
        <v>250</v>
      </c>
      <c r="J132" s="7">
        <v>0</v>
      </c>
      <c r="K132" s="6">
        <v>1500</v>
      </c>
      <c r="L132" s="6">
        <v>851.3508852281924</v>
      </c>
      <c r="M132" s="6">
        <v>648.6491147718076</v>
      </c>
      <c r="N132" s="4" t="s">
        <v>54</v>
      </c>
      <c r="O132" s="4" t="s">
        <v>66</v>
      </c>
    </row>
    <row r="133" spans="1:15" x14ac:dyDescent="0.25">
      <c r="A133" s="4" t="s">
        <v>230</v>
      </c>
      <c r="B133" s="5">
        <v>45746</v>
      </c>
      <c r="C133" s="4" t="s">
        <v>68</v>
      </c>
      <c r="D133" s="4" t="s">
        <v>88</v>
      </c>
      <c r="E133" s="4" t="s">
        <v>131</v>
      </c>
      <c r="F133" s="4" t="s">
        <v>77</v>
      </c>
      <c r="G133" s="4" t="s">
        <v>95</v>
      </c>
      <c r="H133" s="4">
        <v>2</v>
      </c>
      <c r="I133" s="6">
        <v>11000</v>
      </c>
      <c r="J133" s="7">
        <v>0</v>
      </c>
      <c r="K133" s="6">
        <v>22000</v>
      </c>
      <c r="L133" s="6">
        <v>13395.19920332875</v>
      </c>
      <c r="M133" s="6">
        <v>8604.8007966712466</v>
      </c>
      <c r="N133" s="4" t="s">
        <v>54</v>
      </c>
      <c r="O133" s="4" t="s">
        <v>74</v>
      </c>
    </row>
    <row r="134" spans="1:15" x14ac:dyDescent="0.25">
      <c r="A134" s="4" t="s">
        <v>231</v>
      </c>
      <c r="B134" s="5">
        <v>45887</v>
      </c>
      <c r="C134" s="4" t="s">
        <v>61</v>
      </c>
      <c r="D134" s="4" t="s">
        <v>100</v>
      </c>
      <c r="E134" s="4" t="s">
        <v>101</v>
      </c>
      <c r="F134" s="4" t="s">
        <v>85</v>
      </c>
      <c r="G134" s="4" t="s">
        <v>86</v>
      </c>
      <c r="H134" s="4">
        <v>13</v>
      </c>
      <c r="I134" s="6">
        <v>1200</v>
      </c>
      <c r="J134" s="7">
        <v>0.15</v>
      </c>
      <c r="K134" s="6">
        <v>13260</v>
      </c>
      <c r="L134" s="6">
        <v>11306.4392127926</v>
      </c>
      <c r="M134" s="6">
        <v>1953.5607872073981</v>
      </c>
      <c r="N134" s="4" t="s">
        <v>54</v>
      </c>
      <c r="O134" s="4" t="s">
        <v>80</v>
      </c>
    </row>
    <row r="135" spans="1:15" x14ac:dyDescent="0.25">
      <c r="A135" s="4" t="s">
        <v>232</v>
      </c>
      <c r="B135" s="5">
        <v>45960</v>
      </c>
      <c r="C135" s="4" t="s">
        <v>61</v>
      </c>
      <c r="D135" s="4" t="s">
        <v>62</v>
      </c>
      <c r="E135" s="4" t="s">
        <v>84</v>
      </c>
      <c r="F135" s="4" t="s">
        <v>58</v>
      </c>
      <c r="G135" s="4" t="s">
        <v>70</v>
      </c>
      <c r="H135" s="4">
        <v>8</v>
      </c>
      <c r="I135" s="6">
        <v>9000</v>
      </c>
      <c r="J135" s="7">
        <v>0.05</v>
      </c>
      <c r="K135" s="6">
        <v>68400</v>
      </c>
      <c r="L135" s="6">
        <v>52787.219486747657</v>
      </c>
      <c r="M135" s="6">
        <v>15612.780513252341</v>
      </c>
      <c r="N135" s="4" t="s">
        <v>79</v>
      </c>
      <c r="O135" s="4" t="s">
        <v>74</v>
      </c>
    </row>
    <row r="136" spans="1:15" x14ac:dyDescent="0.25">
      <c r="A136" s="4" t="s">
        <v>233</v>
      </c>
      <c r="B136" s="5">
        <v>45697</v>
      </c>
      <c r="C136" s="4" t="s">
        <v>68</v>
      </c>
      <c r="D136" s="4" t="s">
        <v>88</v>
      </c>
      <c r="E136" s="4" t="s">
        <v>51</v>
      </c>
      <c r="F136" s="4" t="s">
        <v>85</v>
      </c>
      <c r="G136" s="4" t="s">
        <v>106</v>
      </c>
      <c r="H136" s="4">
        <v>1</v>
      </c>
      <c r="I136" s="6">
        <v>900</v>
      </c>
      <c r="J136" s="7">
        <v>0.05</v>
      </c>
      <c r="K136" s="6">
        <v>855</v>
      </c>
      <c r="L136" s="6">
        <v>667.16120275426613</v>
      </c>
      <c r="M136" s="6">
        <v>187.8387972457339</v>
      </c>
      <c r="N136" s="4" t="s">
        <v>54</v>
      </c>
      <c r="O136" s="4" t="s">
        <v>55</v>
      </c>
    </row>
    <row r="137" spans="1:15" x14ac:dyDescent="0.25">
      <c r="A137" s="4" t="s">
        <v>234</v>
      </c>
      <c r="B137" s="5">
        <v>45822</v>
      </c>
      <c r="C137" s="4" t="s">
        <v>90</v>
      </c>
      <c r="D137" s="4" t="s">
        <v>91</v>
      </c>
      <c r="E137" s="4" t="s">
        <v>105</v>
      </c>
      <c r="F137" s="4" t="s">
        <v>58</v>
      </c>
      <c r="G137" s="4" t="s">
        <v>70</v>
      </c>
      <c r="H137" s="4">
        <v>15</v>
      </c>
      <c r="I137" s="6">
        <v>9000</v>
      </c>
      <c r="J137" s="7">
        <v>0.15</v>
      </c>
      <c r="K137" s="6">
        <v>114750</v>
      </c>
      <c r="L137" s="6">
        <v>94489.552966839343</v>
      </c>
      <c r="M137" s="6">
        <v>20260.447033160661</v>
      </c>
      <c r="N137" s="4" t="s">
        <v>54</v>
      </c>
      <c r="O137" s="4" t="s">
        <v>66</v>
      </c>
    </row>
    <row r="138" spans="1:15" x14ac:dyDescent="0.25">
      <c r="A138" s="4" t="s">
        <v>235</v>
      </c>
      <c r="B138" s="5">
        <v>45746</v>
      </c>
      <c r="C138" s="4" t="s">
        <v>49</v>
      </c>
      <c r="D138" s="4" t="s">
        <v>72</v>
      </c>
      <c r="E138" s="4" t="s">
        <v>84</v>
      </c>
      <c r="F138" s="4" t="s">
        <v>58</v>
      </c>
      <c r="G138" s="4" t="s">
        <v>73</v>
      </c>
      <c r="H138" s="4">
        <v>12</v>
      </c>
      <c r="I138" s="6">
        <v>1800</v>
      </c>
      <c r="J138" s="7">
        <v>0</v>
      </c>
      <c r="K138" s="6">
        <v>21600</v>
      </c>
      <c r="L138" s="6">
        <v>14386.599439456761</v>
      </c>
      <c r="M138" s="6">
        <v>7213.400560543243</v>
      </c>
      <c r="N138" s="4" t="s">
        <v>65</v>
      </c>
      <c r="O138" s="4" t="s">
        <v>55</v>
      </c>
    </row>
    <row r="139" spans="1:15" x14ac:dyDescent="0.25">
      <c r="A139" s="4" t="s">
        <v>236</v>
      </c>
      <c r="B139" s="5">
        <v>45831</v>
      </c>
      <c r="C139" s="4" t="s">
        <v>90</v>
      </c>
      <c r="D139" s="4" t="s">
        <v>91</v>
      </c>
      <c r="E139" s="4" t="s">
        <v>84</v>
      </c>
      <c r="F139" s="4" t="s">
        <v>77</v>
      </c>
      <c r="G139" s="4" t="s">
        <v>78</v>
      </c>
      <c r="H139" s="4">
        <v>6</v>
      </c>
      <c r="I139" s="6">
        <v>6500</v>
      </c>
      <c r="J139" s="7">
        <v>0.05</v>
      </c>
      <c r="K139" s="6">
        <v>37050</v>
      </c>
      <c r="L139" s="6">
        <v>24925.126538922352</v>
      </c>
      <c r="M139" s="6">
        <v>12124.87346107765</v>
      </c>
      <c r="N139" s="4" t="s">
        <v>54</v>
      </c>
      <c r="O139" s="4" t="s">
        <v>80</v>
      </c>
    </row>
    <row r="140" spans="1:15" x14ac:dyDescent="0.25">
      <c r="A140" s="4" t="s">
        <v>237</v>
      </c>
      <c r="B140" s="5">
        <v>45994</v>
      </c>
      <c r="C140" s="4" t="s">
        <v>49</v>
      </c>
      <c r="D140" s="4" t="s">
        <v>72</v>
      </c>
      <c r="E140" s="4" t="s">
        <v>131</v>
      </c>
      <c r="F140" s="4" t="s">
        <v>58</v>
      </c>
      <c r="G140" s="4" t="s">
        <v>70</v>
      </c>
      <c r="H140" s="4">
        <v>5</v>
      </c>
      <c r="I140" s="6">
        <v>9000</v>
      </c>
      <c r="J140" s="7">
        <v>0.05</v>
      </c>
      <c r="K140" s="6">
        <v>42750</v>
      </c>
      <c r="L140" s="6">
        <v>32240.643329275481</v>
      </c>
      <c r="M140" s="6">
        <v>10509.356670724521</v>
      </c>
      <c r="N140" s="4" t="s">
        <v>79</v>
      </c>
      <c r="O140" s="4" t="s">
        <v>74</v>
      </c>
    </row>
    <row r="141" spans="1:15" x14ac:dyDescent="0.25">
      <c r="A141" s="4" t="s">
        <v>238</v>
      </c>
      <c r="B141" s="5">
        <v>45701</v>
      </c>
      <c r="C141" s="4" t="s">
        <v>61</v>
      </c>
      <c r="D141" s="4" t="s">
        <v>62</v>
      </c>
      <c r="E141" s="4" t="s">
        <v>63</v>
      </c>
      <c r="F141" s="4" t="s">
        <v>52</v>
      </c>
      <c r="G141" s="4" t="s">
        <v>110</v>
      </c>
      <c r="H141" s="4">
        <v>3</v>
      </c>
      <c r="I141" s="6">
        <v>180</v>
      </c>
      <c r="J141" s="7">
        <v>0.15</v>
      </c>
      <c r="K141" s="6">
        <v>459</v>
      </c>
      <c r="L141" s="6">
        <v>385.03718458488493</v>
      </c>
      <c r="M141" s="6">
        <v>73.962815415115074</v>
      </c>
      <c r="N141" s="4" t="s">
        <v>54</v>
      </c>
      <c r="O141" s="4" t="s">
        <v>55</v>
      </c>
    </row>
    <row r="142" spans="1:15" x14ac:dyDescent="0.25">
      <c r="A142" s="4" t="s">
        <v>239</v>
      </c>
      <c r="B142" s="5">
        <v>45816</v>
      </c>
      <c r="C142" s="4" t="s">
        <v>68</v>
      </c>
      <c r="D142" s="4" t="s">
        <v>69</v>
      </c>
      <c r="E142" s="4" t="s">
        <v>131</v>
      </c>
      <c r="F142" s="4" t="s">
        <v>58</v>
      </c>
      <c r="G142" s="4" t="s">
        <v>70</v>
      </c>
      <c r="H142" s="4">
        <v>9</v>
      </c>
      <c r="I142" s="6">
        <v>9000</v>
      </c>
      <c r="J142" s="7">
        <v>0.05</v>
      </c>
      <c r="K142" s="6">
        <v>76950</v>
      </c>
      <c r="L142" s="6">
        <v>44889.634919056261</v>
      </c>
      <c r="M142" s="6">
        <v>32060.365080943739</v>
      </c>
      <c r="N142" s="4" t="s">
        <v>65</v>
      </c>
      <c r="O142" s="4" t="s">
        <v>80</v>
      </c>
    </row>
    <row r="143" spans="1:15" x14ac:dyDescent="0.25">
      <c r="A143" s="4" t="s">
        <v>240</v>
      </c>
      <c r="B143" s="5">
        <v>45709</v>
      </c>
      <c r="C143" s="4" t="s">
        <v>90</v>
      </c>
      <c r="D143" s="4" t="s">
        <v>114</v>
      </c>
      <c r="E143" s="4" t="s">
        <v>84</v>
      </c>
      <c r="F143" s="4" t="s">
        <v>77</v>
      </c>
      <c r="G143" s="4" t="s">
        <v>95</v>
      </c>
      <c r="H143" s="4">
        <v>3</v>
      </c>
      <c r="I143" s="6">
        <v>11000</v>
      </c>
      <c r="J143" s="7">
        <v>0</v>
      </c>
      <c r="K143" s="6">
        <v>33000</v>
      </c>
      <c r="L143" s="6">
        <v>20395.06205155858</v>
      </c>
      <c r="M143" s="6">
        <v>12604.93794844142</v>
      </c>
      <c r="N143" s="4" t="s">
        <v>54</v>
      </c>
      <c r="O143" s="4" t="s">
        <v>80</v>
      </c>
    </row>
    <row r="144" spans="1:15" x14ac:dyDescent="0.25">
      <c r="A144" s="4" t="s">
        <v>241</v>
      </c>
      <c r="B144" s="5">
        <v>45977</v>
      </c>
      <c r="C144" s="4" t="s">
        <v>61</v>
      </c>
      <c r="D144" s="4" t="s">
        <v>100</v>
      </c>
      <c r="E144" s="4" t="s">
        <v>131</v>
      </c>
      <c r="F144" s="4" t="s">
        <v>85</v>
      </c>
      <c r="G144" s="4" t="s">
        <v>92</v>
      </c>
      <c r="H144" s="4">
        <v>3</v>
      </c>
      <c r="I144" s="6">
        <v>2200</v>
      </c>
      <c r="J144" s="7">
        <v>0</v>
      </c>
      <c r="K144" s="6">
        <v>6600</v>
      </c>
      <c r="L144" s="6">
        <v>4891.9817960540931</v>
      </c>
      <c r="M144" s="6">
        <v>1708.0182039459071</v>
      </c>
      <c r="N144" s="4" t="s">
        <v>54</v>
      </c>
      <c r="O144" s="4" t="s">
        <v>55</v>
      </c>
    </row>
    <row r="145" spans="1:15" x14ac:dyDescent="0.25">
      <c r="A145" s="4" t="s">
        <v>242</v>
      </c>
      <c r="B145" s="5">
        <v>45887</v>
      </c>
      <c r="C145" s="4" t="s">
        <v>49</v>
      </c>
      <c r="D145" s="4" t="s">
        <v>72</v>
      </c>
      <c r="E145" s="4" t="s">
        <v>57</v>
      </c>
      <c r="F145" s="4" t="s">
        <v>52</v>
      </c>
      <c r="G145" s="4" t="s">
        <v>53</v>
      </c>
      <c r="H145" s="4">
        <v>8</v>
      </c>
      <c r="I145" s="6">
        <v>250</v>
      </c>
      <c r="J145" s="7">
        <v>0.15</v>
      </c>
      <c r="K145" s="6">
        <v>1700</v>
      </c>
      <c r="L145" s="6">
        <v>1231.0668489791451</v>
      </c>
      <c r="M145" s="6">
        <v>468.93315102085512</v>
      </c>
      <c r="N145" s="4" t="s">
        <v>54</v>
      </c>
      <c r="O145" s="4" t="s">
        <v>66</v>
      </c>
    </row>
    <row r="146" spans="1:15" x14ac:dyDescent="0.25">
      <c r="A146" s="4" t="s">
        <v>243</v>
      </c>
      <c r="B146" s="5">
        <v>45894</v>
      </c>
      <c r="C146" s="4" t="s">
        <v>68</v>
      </c>
      <c r="D146" s="4" t="s">
        <v>88</v>
      </c>
      <c r="E146" s="4" t="s">
        <v>63</v>
      </c>
      <c r="F146" s="4" t="s">
        <v>77</v>
      </c>
      <c r="G146" s="4" t="s">
        <v>78</v>
      </c>
      <c r="H146" s="4">
        <v>11</v>
      </c>
      <c r="I146" s="6">
        <v>6500</v>
      </c>
      <c r="J146" s="7">
        <v>0.15</v>
      </c>
      <c r="K146" s="6">
        <v>60775</v>
      </c>
      <c r="L146" s="6">
        <v>55514.112404626787</v>
      </c>
      <c r="M146" s="6">
        <v>5260.8875953732058</v>
      </c>
      <c r="N146" s="4" t="s">
        <v>79</v>
      </c>
      <c r="O146" s="4" t="s">
        <v>55</v>
      </c>
    </row>
    <row r="147" spans="1:15" x14ac:dyDescent="0.25">
      <c r="A147" s="4" t="s">
        <v>244</v>
      </c>
      <c r="B147" s="5">
        <v>45941</v>
      </c>
      <c r="C147" s="4" t="s">
        <v>61</v>
      </c>
      <c r="D147" s="4" t="s">
        <v>83</v>
      </c>
      <c r="E147" s="4" t="s">
        <v>51</v>
      </c>
      <c r="F147" s="4" t="s">
        <v>77</v>
      </c>
      <c r="G147" s="4" t="s">
        <v>78</v>
      </c>
      <c r="H147" s="4">
        <v>1</v>
      </c>
      <c r="I147" s="6">
        <v>6500</v>
      </c>
      <c r="J147" s="7">
        <v>0.1</v>
      </c>
      <c r="K147" s="6">
        <v>5850</v>
      </c>
      <c r="L147" s="6">
        <v>4881.8048328530949</v>
      </c>
      <c r="M147" s="6">
        <v>968.19516714690508</v>
      </c>
      <c r="N147" s="4" t="s">
        <v>54</v>
      </c>
      <c r="O147" s="4" t="s">
        <v>74</v>
      </c>
    </row>
    <row r="148" spans="1:15" x14ac:dyDescent="0.25">
      <c r="A148" s="4" t="s">
        <v>245</v>
      </c>
      <c r="B148" s="5">
        <v>45881</v>
      </c>
      <c r="C148" s="4" t="s">
        <v>68</v>
      </c>
      <c r="D148" s="4" t="s">
        <v>69</v>
      </c>
      <c r="E148" s="4" t="s">
        <v>51</v>
      </c>
      <c r="F148" s="4" t="s">
        <v>77</v>
      </c>
      <c r="G148" s="4" t="s">
        <v>78</v>
      </c>
      <c r="H148" s="4">
        <v>8</v>
      </c>
      <c r="I148" s="6">
        <v>6500</v>
      </c>
      <c r="J148" s="7">
        <v>0.15</v>
      </c>
      <c r="K148" s="6">
        <v>44200</v>
      </c>
      <c r="L148" s="6">
        <v>30362.289925659588</v>
      </c>
      <c r="M148" s="6">
        <v>13837.71007434041</v>
      </c>
      <c r="N148" s="4" t="s">
        <v>65</v>
      </c>
      <c r="O148" s="4" t="s">
        <v>55</v>
      </c>
    </row>
    <row r="149" spans="1:15" x14ac:dyDescent="0.25">
      <c r="A149" s="4" t="s">
        <v>246</v>
      </c>
      <c r="B149" s="5">
        <v>45855</v>
      </c>
      <c r="C149" s="4" t="s">
        <v>68</v>
      </c>
      <c r="D149" s="4" t="s">
        <v>69</v>
      </c>
      <c r="E149" s="4" t="s">
        <v>51</v>
      </c>
      <c r="F149" s="4" t="s">
        <v>85</v>
      </c>
      <c r="G149" s="4" t="s">
        <v>106</v>
      </c>
      <c r="H149" s="4">
        <v>7</v>
      </c>
      <c r="I149" s="6">
        <v>900</v>
      </c>
      <c r="J149" s="7">
        <v>0.15</v>
      </c>
      <c r="K149" s="6">
        <v>5355</v>
      </c>
      <c r="L149" s="6">
        <v>4006.8701956468999</v>
      </c>
      <c r="M149" s="6">
        <v>1348.1298043531001</v>
      </c>
      <c r="N149" s="4" t="s">
        <v>79</v>
      </c>
      <c r="O149" s="4" t="s">
        <v>66</v>
      </c>
    </row>
    <row r="150" spans="1:15" x14ac:dyDescent="0.25">
      <c r="A150" s="4" t="s">
        <v>247</v>
      </c>
      <c r="B150" s="5">
        <v>45804</v>
      </c>
      <c r="C150" s="4" t="s">
        <v>49</v>
      </c>
      <c r="D150" s="4" t="s">
        <v>72</v>
      </c>
      <c r="E150" s="4" t="s">
        <v>105</v>
      </c>
      <c r="F150" s="4" t="s">
        <v>58</v>
      </c>
      <c r="G150" s="4" t="s">
        <v>73</v>
      </c>
      <c r="H150" s="4">
        <v>13</v>
      </c>
      <c r="I150" s="6">
        <v>1800</v>
      </c>
      <c r="J150" s="7">
        <v>0</v>
      </c>
      <c r="K150" s="6">
        <v>23400</v>
      </c>
      <c r="L150" s="6">
        <v>13610.560981140639</v>
      </c>
      <c r="M150" s="6">
        <v>9789.439018859357</v>
      </c>
      <c r="N150" s="4" t="s">
        <v>54</v>
      </c>
      <c r="O150" s="4" t="s">
        <v>66</v>
      </c>
    </row>
    <row r="151" spans="1:15" x14ac:dyDescent="0.25">
      <c r="A151" s="4" t="s">
        <v>248</v>
      </c>
      <c r="B151" s="5">
        <v>45734</v>
      </c>
      <c r="C151" s="4" t="s">
        <v>90</v>
      </c>
      <c r="D151" s="4" t="s">
        <v>94</v>
      </c>
      <c r="E151" s="4" t="s">
        <v>123</v>
      </c>
      <c r="F151" s="4" t="s">
        <v>58</v>
      </c>
      <c r="G151" s="4" t="s">
        <v>103</v>
      </c>
      <c r="H151" s="4">
        <v>1</v>
      </c>
      <c r="I151" s="6">
        <v>55000</v>
      </c>
      <c r="J151" s="7">
        <v>0.05</v>
      </c>
      <c r="K151" s="6">
        <v>52250</v>
      </c>
      <c r="L151" s="6">
        <v>32978.032517524683</v>
      </c>
      <c r="M151" s="6">
        <v>19271.96748247532</v>
      </c>
      <c r="N151" s="4" t="s">
        <v>65</v>
      </c>
      <c r="O151" s="4" t="s">
        <v>80</v>
      </c>
    </row>
    <row r="152" spans="1:15" x14ac:dyDescent="0.25">
      <c r="A152" s="4" t="s">
        <v>249</v>
      </c>
      <c r="B152" s="5">
        <v>45976</v>
      </c>
      <c r="C152" s="4" t="s">
        <v>61</v>
      </c>
      <c r="D152" s="4" t="s">
        <v>62</v>
      </c>
      <c r="E152" s="4" t="s">
        <v>105</v>
      </c>
      <c r="F152" s="4" t="s">
        <v>58</v>
      </c>
      <c r="G152" s="4" t="s">
        <v>103</v>
      </c>
      <c r="H152" s="4">
        <v>4</v>
      </c>
      <c r="I152" s="6">
        <v>55000</v>
      </c>
      <c r="J152" s="7">
        <v>0.1</v>
      </c>
      <c r="K152" s="6">
        <v>198000</v>
      </c>
      <c r="L152" s="6">
        <v>153330.95764794419</v>
      </c>
      <c r="M152" s="6">
        <v>44669.042352055811</v>
      </c>
      <c r="N152" s="4" t="s">
        <v>65</v>
      </c>
      <c r="O152" s="4" t="s">
        <v>74</v>
      </c>
    </row>
    <row r="153" spans="1:15" x14ac:dyDescent="0.25">
      <c r="A153" s="4" t="s">
        <v>250</v>
      </c>
      <c r="B153" s="5">
        <v>45658</v>
      </c>
      <c r="C153" s="4" t="s">
        <v>90</v>
      </c>
      <c r="D153" s="4" t="s">
        <v>91</v>
      </c>
      <c r="E153" s="4" t="s">
        <v>101</v>
      </c>
      <c r="F153" s="4" t="s">
        <v>58</v>
      </c>
      <c r="G153" s="4" t="s">
        <v>59</v>
      </c>
      <c r="H153" s="4">
        <v>12</v>
      </c>
      <c r="I153" s="6">
        <v>12000</v>
      </c>
      <c r="J153" s="7">
        <v>0</v>
      </c>
      <c r="K153" s="6">
        <v>144000</v>
      </c>
      <c r="L153" s="6">
        <v>88846.928235116546</v>
      </c>
      <c r="M153" s="6">
        <v>55153.071764883447</v>
      </c>
      <c r="N153" s="4" t="s">
        <v>65</v>
      </c>
      <c r="O153" s="4" t="s">
        <v>55</v>
      </c>
    </row>
    <row r="154" spans="1:15" x14ac:dyDescent="0.25">
      <c r="A154" s="4" t="s">
        <v>251</v>
      </c>
      <c r="B154" s="5">
        <v>45917</v>
      </c>
      <c r="C154" s="4" t="s">
        <v>61</v>
      </c>
      <c r="D154" s="4" t="s">
        <v>100</v>
      </c>
      <c r="E154" s="4" t="s">
        <v>84</v>
      </c>
      <c r="F154" s="4" t="s">
        <v>58</v>
      </c>
      <c r="G154" s="4" t="s">
        <v>73</v>
      </c>
      <c r="H154" s="4">
        <v>2</v>
      </c>
      <c r="I154" s="6">
        <v>1800</v>
      </c>
      <c r="J154" s="7">
        <v>0.15</v>
      </c>
      <c r="K154" s="6">
        <v>3060</v>
      </c>
      <c r="L154" s="6">
        <v>2430.4998628204121</v>
      </c>
      <c r="M154" s="6">
        <v>629.50013717958836</v>
      </c>
      <c r="N154" s="4" t="s">
        <v>79</v>
      </c>
      <c r="O154" s="4" t="s">
        <v>55</v>
      </c>
    </row>
    <row r="155" spans="1:15" x14ac:dyDescent="0.25">
      <c r="A155" s="4" t="s">
        <v>252</v>
      </c>
      <c r="B155" s="5">
        <v>45692</v>
      </c>
      <c r="C155" s="4" t="s">
        <v>49</v>
      </c>
      <c r="D155" s="4" t="s">
        <v>76</v>
      </c>
      <c r="E155" s="4" t="s">
        <v>101</v>
      </c>
      <c r="F155" s="4" t="s">
        <v>85</v>
      </c>
      <c r="G155" s="4" t="s">
        <v>116</v>
      </c>
      <c r="H155" s="4">
        <v>5</v>
      </c>
      <c r="I155" s="6">
        <v>3000</v>
      </c>
      <c r="J155" s="7">
        <v>0</v>
      </c>
      <c r="K155" s="6">
        <v>15000</v>
      </c>
      <c r="L155" s="6">
        <v>9481.9738739758286</v>
      </c>
      <c r="M155" s="6">
        <v>5518.0261260241714</v>
      </c>
      <c r="N155" s="4" t="s">
        <v>65</v>
      </c>
      <c r="O155" s="4" t="s">
        <v>74</v>
      </c>
    </row>
    <row r="156" spans="1:15" x14ac:dyDescent="0.25">
      <c r="A156" s="4" t="s">
        <v>253</v>
      </c>
      <c r="B156" s="5">
        <v>45747</v>
      </c>
      <c r="C156" s="4" t="s">
        <v>68</v>
      </c>
      <c r="D156" s="4" t="s">
        <v>69</v>
      </c>
      <c r="E156" s="4" t="s">
        <v>105</v>
      </c>
      <c r="F156" s="4" t="s">
        <v>58</v>
      </c>
      <c r="G156" s="4" t="s">
        <v>73</v>
      </c>
      <c r="H156" s="4">
        <v>9</v>
      </c>
      <c r="I156" s="6">
        <v>1800</v>
      </c>
      <c r="J156" s="7">
        <v>0.05</v>
      </c>
      <c r="K156" s="6">
        <v>15390</v>
      </c>
      <c r="L156" s="6">
        <v>11941.13403306199</v>
      </c>
      <c r="M156" s="6">
        <v>3448.865966938014</v>
      </c>
      <c r="N156" s="4" t="s">
        <v>54</v>
      </c>
      <c r="O156" s="4" t="s">
        <v>55</v>
      </c>
    </row>
    <row r="157" spans="1:15" x14ac:dyDescent="0.25">
      <c r="A157" s="4" t="s">
        <v>254</v>
      </c>
      <c r="B157" s="5">
        <v>45760</v>
      </c>
      <c r="C157" s="4" t="s">
        <v>61</v>
      </c>
      <c r="D157" s="4" t="s">
        <v>83</v>
      </c>
      <c r="E157" s="4" t="s">
        <v>84</v>
      </c>
      <c r="F157" s="4" t="s">
        <v>58</v>
      </c>
      <c r="G157" s="4" t="s">
        <v>70</v>
      </c>
      <c r="H157" s="4">
        <v>1</v>
      </c>
      <c r="I157" s="6">
        <v>9000</v>
      </c>
      <c r="J157" s="7">
        <v>0.05</v>
      </c>
      <c r="K157" s="6">
        <v>8550</v>
      </c>
      <c r="L157" s="6">
        <v>5367.2933551719716</v>
      </c>
      <c r="M157" s="6">
        <v>3182.7066448280279</v>
      </c>
      <c r="N157" s="4" t="s">
        <v>79</v>
      </c>
      <c r="O157" s="4" t="s">
        <v>80</v>
      </c>
    </row>
    <row r="158" spans="1:15" x14ac:dyDescent="0.25">
      <c r="A158" s="4" t="s">
        <v>255</v>
      </c>
      <c r="B158" s="5">
        <v>45682</v>
      </c>
      <c r="C158" s="4" t="s">
        <v>90</v>
      </c>
      <c r="D158" s="4" t="s">
        <v>91</v>
      </c>
      <c r="E158" s="4" t="s">
        <v>101</v>
      </c>
      <c r="F158" s="4" t="s">
        <v>85</v>
      </c>
      <c r="G158" s="4" t="s">
        <v>116</v>
      </c>
      <c r="H158" s="4">
        <v>1</v>
      </c>
      <c r="I158" s="6">
        <v>3000</v>
      </c>
      <c r="J158" s="7">
        <v>0</v>
      </c>
      <c r="K158" s="6">
        <v>3000</v>
      </c>
      <c r="L158" s="6">
        <v>1847.4165179305689</v>
      </c>
      <c r="M158" s="6">
        <v>1152.5834820694311</v>
      </c>
      <c r="N158" s="4" t="s">
        <v>79</v>
      </c>
      <c r="O158" s="4" t="s">
        <v>74</v>
      </c>
    </row>
    <row r="159" spans="1:15" x14ac:dyDescent="0.25">
      <c r="A159" s="4" t="s">
        <v>256</v>
      </c>
      <c r="B159" s="5">
        <v>45753</v>
      </c>
      <c r="C159" s="4" t="s">
        <v>68</v>
      </c>
      <c r="D159" s="4" t="s">
        <v>88</v>
      </c>
      <c r="E159" s="4" t="s">
        <v>105</v>
      </c>
      <c r="F159" s="4" t="s">
        <v>85</v>
      </c>
      <c r="G159" s="4" t="s">
        <v>86</v>
      </c>
      <c r="H159" s="4">
        <v>15</v>
      </c>
      <c r="I159" s="6">
        <v>1200</v>
      </c>
      <c r="J159" s="7">
        <v>0.1</v>
      </c>
      <c r="K159" s="6">
        <v>16200</v>
      </c>
      <c r="L159" s="6">
        <v>11303.611641609779</v>
      </c>
      <c r="M159" s="6">
        <v>4896.3883583902152</v>
      </c>
      <c r="N159" s="4" t="s">
        <v>54</v>
      </c>
      <c r="O159" s="4" t="s">
        <v>55</v>
      </c>
    </row>
    <row r="160" spans="1:15" x14ac:dyDescent="0.25">
      <c r="A160" s="4" t="s">
        <v>257</v>
      </c>
      <c r="B160" s="5">
        <v>45966</v>
      </c>
      <c r="C160" s="4" t="s">
        <v>68</v>
      </c>
      <c r="D160" s="4" t="s">
        <v>108</v>
      </c>
      <c r="E160" s="4" t="s">
        <v>131</v>
      </c>
      <c r="F160" s="4" t="s">
        <v>52</v>
      </c>
      <c r="G160" s="4" t="s">
        <v>64</v>
      </c>
      <c r="H160" s="4">
        <v>12</v>
      </c>
      <c r="I160" s="6">
        <v>120</v>
      </c>
      <c r="J160" s="7">
        <v>0.1</v>
      </c>
      <c r="K160" s="6">
        <v>1296</v>
      </c>
      <c r="L160" s="6">
        <v>818.14062440557097</v>
      </c>
      <c r="M160" s="6">
        <v>477.85937559442903</v>
      </c>
      <c r="N160" s="4" t="s">
        <v>54</v>
      </c>
      <c r="O160" s="4" t="s">
        <v>80</v>
      </c>
    </row>
    <row r="161" spans="1:15" x14ac:dyDescent="0.25">
      <c r="A161" s="4" t="s">
        <v>258</v>
      </c>
      <c r="B161" s="5">
        <v>45966</v>
      </c>
      <c r="C161" s="4" t="s">
        <v>68</v>
      </c>
      <c r="D161" s="4" t="s">
        <v>69</v>
      </c>
      <c r="E161" s="4" t="s">
        <v>123</v>
      </c>
      <c r="F161" s="4" t="s">
        <v>58</v>
      </c>
      <c r="G161" s="4" t="s">
        <v>73</v>
      </c>
      <c r="H161" s="4">
        <v>11</v>
      </c>
      <c r="I161" s="6">
        <v>1800</v>
      </c>
      <c r="J161" s="7">
        <v>0.05</v>
      </c>
      <c r="K161" s="6">
        <v>18810</v>
      </c>
      <c r="L161" s="6">
        <v>12285.782128637289</v>
      </c>
      <c r="M161" s="6">
        <v>6524.2178713627127</v>
      </c>
      <c r="N161" s="4" t="s">
        <v>65</v>
      </c>
      <c r="O161" s="4" t="s">
        <v>55</v>
      </c>
    </row>
    <row r="162" spans="1:15" x14ac:dyDescent="0.25">
      <c r="A162" s="4" t="s">
        <v>259</v>
      </c>
      <c r="B162" s="5">
        <v>45687</v>
      </c>
      <c r="C162" s="4" t="s">
        <v>68</v>
      </c>
      <c r="D162" s="4" t="s">
        <v>88</v>
      </c>
      <c r="E162" s="4" t="s">
        <v>51</v>
      </c>
      <c r="F162" s="4" t="s">
        <v>58</v>
      </c>
      <c r="G162" s="4" t="s">
        <v>73</v>
      </c>
      <c r="H162" s="4">
        <v>10</v>
      </c>
      <c r="I162" s="6">
        <v>1800</v>
      </c>
      <c r="J162" s="7">
        <v>0.1</v>
      </c>
      <c r="K162" s="6">
        <v>16200</v>
      </c>
      <c r="L162" s="6">
        <v>11036.65919070991</v>
      </c>
      <c r="M162" s="6">
        <v>5163.34080929009</v>
      </c>
      <c r="N162" s="4" t="s">
        <v>54</v>
      </c>
      <c r="O162" s="4" t="s">
        <v>55</v>
      </c>
    </row>
    <row r="163" spans="1:15" x14ac:dyDescent="0.25">
      <c r="A163" s="4" t="s">
        <v>260</v>
      </c>
      <c r="B163" s="5">
        <v>45882</v>
      </c>
      <c r="C163" s="4" t="s">
        <v>68</v>
      </c>
      <c r="D163" s="4" t="s">
        <v>108</v>
      </c>
      <c r="E163" s="4" t="s">
        <v>84</v>
      </c>
      <c r="F163" s="4" t="s">
        <v>77</v>
      </c>
      <c r="G163" s="4" t="s">
        <v>158</v>
      </c>
      <c r="H163" s="4">
        <v>3</v>
      </c>
      <c r="I163" s="6">
        <v>7000</v>
      </c>
      <c r="J163" s="7">
        <v>0.15</v>
      </c>
      <c r="K163" s="6">
        <v>17850</v>
      </c>
      <c r="L163" s="6">
        <v>14825.16925173802</v>
      </c>
      <c r="M163" s="6">
        <v>3024.8307482619821</v>
      </c>
      <c r="N163" s="4" t="s">
        <v>65</v>
      </c>
      <c r="O163" s="4" t="s">
        <v>74</v>
      </c>
    </row>
    <row r="164" spans="1:15" x14ac:dyDescent="0.25">
      <c r="A164" s="4" t="s">
        <v>261</v>
      </c>
      <c r="B164" s="5">
        <v>45736</v>
      </c>
      <c r="C164" s="4" t="s">
        <v>61</v>
      </c>
      <c r="D164" s="4" t="s">
        <v>100</v>
      </c>
      <c r="E164" s="4" t="s">
        <v>105</v>
      </c>
      <c r="F164" s="4" t="s">
        <v>52</v>
      </c>
      <c r="G164" s="4" t="s">
        <v>98</v>
      </c>
      <c r="H164" s="4">
        <v>7</v>
      </c>
      <c r="I164" s="6">
        <v>80</v>
      </c>
      <c r="J164" s="7">
        <v>0.15</v>
      </c>
      <c r="K164" s="6">
        <v>476</v>
      </c>
      <c r="L164" s="6">
        <v>312.17122972858112</v>
      </c>
      <c r="M164" s="6">
        <v>163.8287702714189</v>
      </c>
      <c r="N164" s="4" t="s">
        <v>79</v>
      </c>
      <c r="O164" s="4" t="s">
        <v>80</v>
      </c>
    </row>
    <row r="165" spans="1:15" x14ac:dyDescent="0.25">
      <c r="A165" s="4" t="s">
        <v>262</v>
      </c>
      <c r="B165" s="5">
        <v>45785</v>
      </c>
      <c r="C165" s="4" t="s">
        <v>90</v>
      </c>
      <c r="D165" s="4" t="s">
        <v>114</v>
      </c>
      <c r="E165" s="4" t="s">
        <v>51</v>
      </c>
      <c r="F165" s="4" t="s">
        <v>77</v>
      </c>
      <c r="G165" s="4" t="s">
        <v>78</v>
      </c>
      <c r="H165" s="4">
        <v>7</v>
      </c>
      <c r="I165" s="6">
        <v>6500</v>
      </c>
      <c r="J165" s="7">
        <v>0.05</v>
      </c>
      <c r="K165" s="6">
        <v>43225</v>
      </c>
      <c r="L165" s="6">
        <v>31822.65310962862</v>
      </c>
      <c r="M165" s="6">
        <v>11402.34689037138</v>
      </c>
      <c r="N165" s="4" t="s">
        <v>65</v>
      </c>
      <c r="O165" s="4" t="s">
        <v>66</v>
      </c>
    </row>
    <row r="166" spans="1:15" x14ac:dyDescent="0.25">
      <c r="A166" s="4" t="s">
        <v>263</v>
      </c>
      <c r="B166" s="5">
        <v>45767</v>
      </c>
      <c r="C166" s="4" t="s">
        <v>90</v>
      </c>
      <c r="D166" s="4" t="s">
        <v>91</v>
      </c>
      <c r="E166" s="4" t="s">
        <v>63</v>
      </c>
      <c r="F166" s="4" t="s">
        <v>85</v>
      </c>
      <c r="G166" s="4" t="s">
        <v>106</v>
      </c>
      <c r="H166" s="4">
        <v>5</v>
      </c>
      <c r="I166" s="6">
        <v>900</v>
      </c>
      <c r="J166" s="7">
        <v>0.05</v>
      </c>
      <c r="K166" s="6">
        <v>4275</v>
      </c>
      <c r="L166" s="6">
        <v>3203.679134599065</v>
      </c>
      <c r="M166" s="6">
        <v>1071.320865400935</v>
      </c>
      <c r="N166" s="4" t="s">
        <v>54</v>
      </c>
      <c r="O166" s="4" t="s">
        <v>55</v>
      </c>
    </row>
    <row r="167" spans="1:15" x14ac:dyDescent="0.25">
      <c r="A167" s="4" t="s">
        <v>264</v>
      </c>
      <c r="B167" s="5">
        <v>45885</v>
      </c>
      <c r="C167" s="4" t="s">
        <v>61</v>
      </c>
      <c r="D167" s="4" t="s">
        <v>83</v>
      </c>
      <c r="E167" s="4" t="s">
        <v>51</v>
      </c>
      <c r="F167" s="4" t="s">
        <v>77</v>
      </c>
      <c r="G167" s="4" t="s">
        <v>158</v>
      </c>
      <c r="H167" s="4">
        <v>8</v>
      </c>
      <c r="I167" s="6">
        <v>7000</v>
      </c>
      <c r="J167" s="7">
        <v>0</v>
      </c>
      <c r="K167" s="6">
        <v>56000</v>
      </c>
      <c r="L167" s="6">
        <v>42374.985916526653</v>
      </c>
      <c r="M167" s="6">
        <v>13625.01408347335</v>
      </c>
      <c r="N167" s="4" t="s">
        <v>54</v>
      </c>
      <c r="O167" s="4" t="s">
        <v>80</v>
      </c>
    </row>
    <row r="168" spans="1:15" x14ac:dyDescent="0.25">
      <c r="A168" s="4" t="s">
        <v>265</v>
      </c>
      <c r="B168" s="5">
        <v>46022</v>
      </c>
      <c r="C168" s="4" t="s">
        <v>68</v>
      </c>
      <c r="D168" s="4" t="s">
        <v>108</v>
      </c>
      <c r="E168" s="4" t="s">
        <v>131</v>
      </c>
      <c r="F168" s="4" t="s">
        <v>58</v>
      </c>
      <c r="G168" s="4" t="s">
        <v>73</v>
      </c>
      <c r="H168" s="4">
        <v>15</v>
      </c>
      <c r="I168" s="6">
        <v>1800</v>
      </c>
      <c r="J168" s="7">
        <v>0.05</v>
      </c>
      <c r="K168" s="6">
        <v>25650</v>
      </c>
      <c r="L168" s="6">
        <v>20136.958335176911</v>
      </c>
      <c r="M168" s="6">
        <v>5513.0416648230857</v>
      </c>
      <c r="N168" s="4" t="s">
        <v>79</v>
      </c>
      <c r="O168" s="4" t="s">
        <v>66</v>
      </c>
    </row>
    <row r="169" spans="1:15" x14ac:dyDescent="0.25">
      <c r="A169" s="4" t="s">
        <v>266</v>
      </c>
      <c r="B169" s="5">
        <v>45941</v>
      </c>
      <c r="C169" s="4" t="s">
        <v>49</v>
      </c>
      <c r="D169" s="4" t="s">
        <v>50</v>
      </c>
      <c r="E169" s="4" t="s">
        <v>101</v>
      </c>
      <c r="F169" s="4" t="s">
        <v>77</v>
      </c>
      <c r="G169" s="4" t="s">
        <v>95</v>
      </c>
      <c r="H169" s="4">
        <v>13</v>
      </c>
      <c r="I169" s="6">
        <v>11000</v>
      </c>
      <c r="J169" s="7">
        <v>0.1</v>
      </c>
      <c r="K169" s="6">
        <v>128700</v>
      </c>
      <c r="L169" s="6">
        <v>79514.481641723876</v>
      </c>
      <c r="M169" s="6">
        <v>49185.518358276116</v>
      </c>
      <c r="N169" s="4" t="s">
        <v>79</v>
      </c>
      <c r="O169" s="4" t="s">
        <v>66</v>
      </c>
    </row>
    <row r="170" spans="1:15" x14ac:dyDescent="0.25">
      <c r="A170" s="4" t="s">
        <v>267</v>
      </c>
      <c r="B170" s="5">
        <v>45867</v>
      </c>
      <c r="C170" s="4" t="s">
        <v>49</v>
      </c>
      <c r="D170" s="4" t="s">
        <v>50</v>
      </c>
      <c r="E170" s="4" t="s">
        <v>51</v>
      </c>
      <c r="F170" s="4" t="s">
        <v>52</v>
      </c>
      <c r="G170" s="4" t="s">
        <v>110</v>
      </c>
      <c r="H170" s="4">
        <v>12</v>
      </c>
      <c r="I170" s="6">
        <v>180</v>
      </c>
      <c r="J170" s="7">
        <v>0.1</v>
      </c>
      <c r="K170" s="6">
        <v>1944</v>
      </c>
      <c r="L170" s="6">
        <v>1449.165601319693</v>
      </c>
      <c r="M170" s="6">
        <v>494.83439868030678</v>
      </c>
      <c r="N170" s="4" t="s">
        <v>65</v>
      </c>
      <c r="O170" s="4" t="s">
        <v>80</v>
      </c>
    </row>
    <row r="171" spans="1:15" x14ac:dyDescent="0.25">
      <c r="A171" s="4" t="s">
        <v>268</v>
      </c>
      <c r="B171" s="5">
        <v>45751</v>
      </c>
      <c r="C171" s="4" t="s">
        <v>49</v>
      </c>
      <c r="D171" s="4" t="s">
        <v>72</v>
      </c>
      <c r="E171" s="4" t="s">
        <v>131</v>
      </c>
      <c r="F171" s="4" t="s">
        <v>85</v>
      </c>
      <c r="G171" s="4" t="s">
        <v>116</v>
      </c>
      <c r="H171" s="4">
        <v>3</v>
      </c>
      <c r="I171" s="6">
        <v>3000</v>
      </c>
      <c r="J171" s="7">
        <v>0.15</v>
      </c>
      <c r="K171" s="6">
        <v>7650</v>
      </c>
      <c r="L171" s="6">
        <v>6274.3734337889928</v>
      </c>
      <c r="M171" s="6">
        <v>1375.626566211007</v>
      </c>
      <c r="N171" s="4" t="s">
        <v>79</v>
      </c>
      <c r="O171" s="4" t="s">
        <v>74</v>
      </c>
    </row>
    <row r="172" spans="1:15" x14ac:dyDescent="0.25">
      <c r="A172" s="4" t="s">
        <v>269</v>
      </c>
      <c r="B172" s="5">
        <v>46021</v>
      </c>
      <c r="C172" s="4" t="s">
        <v>49</v>
      </c>
      <c r="D172" s="4" t="s">
        <v>76</v>
      </c>
      <c r="E172" s="4" t="s">
        <v>57</v>
      </c>
      <c r="F172" s="4" t="s">
        <v>77</v>
      </c>
      <c r="G172" s="4" t="s">
        <v>78</v>
      </c>
      <c r="H172" s="4">
        <v>3</v>
      </c>
      <c r="I172" s="6">
        <v>6500</v>
      </c>
      <c r="J172" s="7">
        <v>0</v>
      </c>
      <c r="K172" s="6">
        <v>19500</v>
      </c>
      <c r="L172" s="6">
        <v>12172.133468928179</v>
      </c>
      <c r="M172" s="6">
        <v>7327.866531071817</v>
      </c>
      <c r="N172" s="4" t="s">
        <v>79</v>
      </c>
      <c r="O172" s="4" t="s">
        <v>80</v>
      </c>
    </row>
    <row r="173" spans="1:15" x14ac:dyDescent="0.25">
      <c r="A173" s="4" t="s">
        <v>270</v>
      </c>
      <c r="B173" s="5">
        <v>45705</v>
      </c>
      <c r="C173" s="4" t="s">
        <v>49</v>
      </c>
      <c r="D173" s="4" t="s">
        <v>72</v>
      </c>
      <c r="E173" s="4" t="s">
        <v>131</v>
      </c>
      <c r="F173" s="4" t="s">
        <v>77</v>
      </c>
      <c r="G173" s="4" t="s">
        <v>78</v>
      </c>
      <c r="H173" s="4">
        <v>3</v>
      </c>
      <c r="I173" s="6">
        <v>6500</v>
      </c>
      <c r="J173" s="7">
        <v>0.05</v>
      </c>
      <c r="K173" s="6">
        <v>18525</v>
      </c>
      <c r="L173" s="6">
        <v>13480.71082821227</v>
      </c>
      <c r="M173" s="6">
        <v>5044.2891717877319</v>
      </c>
      <c r="N173" s="4" t="s">
        <v>54</v>
      </c>
      <c r="O173" s="4" t="s">
        <v>66</v>
      </c>
    </row>
    <row r="174" spans="1:15" x14ac:dyDescent="0.25">
      <c r="A174" s="4" t="s">
        <v>271</v>
      </c>
      <c r="B174" s="5">
        <v>45986</v>
      </c>
      <c r="C174" s="4" t="s">
        <v>61</v>
      </c>
      <c r="D174" s="4" t="s">
        <v>100</v>
      </c>
      <c r="E174" s="4" t="s">
        <v>63</v>
      </c>
      <c r="F174" s="4" t="s">
        <v>52</v>
      </c>
      <c r="G174" s="4" t="s">
        <v>64</v>
      </c>
      <c r="H174" s="4">
        <v>14</v>
      </c>
      <c r="I174" s="6">
        <v>120</v>
      </c>
      <c r="J174" s="7">
        <v>0</v>
      </c>
      <c r="K174" s="6">
        <v>1680</v>
      </c>
      <c r="L174" s="6">
        <v>955.38451113079816</v>
      </c>
      <c r="M174" s="6">
        <v>724.61548886920184</v>
      </c>
      <c r="N174" s="4" t="s">
        <v>54</v>
      </c>
      <c r="O174" s="4" t="s">
        <v>66</v>
      </c>
    </row>
    <row r="175" spans="1:15" x14ac:dyDescent="0.25">
      <c r="A175" s="4" t="s">
        <v>272</v>
      </c>
      <c r="B175" s="5">
        <v>45812</v>
      </c>
      <c r="C175" s="4" t="s">
        <v>90</v>
      </c>
      <c r="D175" s="4" t="s">
        <v>91</v>
      </c>
      <c r="E175" s="4" t="s">
        <v>105</v>
      </c>
      <c r="F175" s="4" t="s">
        <v>58</v>
      </c>
      <c r="G175" s="4" t="s">
        <v>70</v>
      </c>
      <c r="H175" s="4">
        <v>15</v>
      </c>
      <c r="I175" s="6">
        <v>9000</v>
      </c>
      <c r="J175" s="7">
        <v>0.15</v>
      </c>
      <c r="K175" s="6">
        <v>114750</v>
      </c>
      <c r="L175" s="6">
        <v>83244.304943689873</v>
      </c>
      <c r="M175" s="6">
        <v>31505.695056310131</v>
      </c>
      <c r="N175" s="4" t="s">
        <v>65</v>
      </c>
      <c r="O175" s="4" t="s">
        <v>55</v>
      </c>
    </row>
    <row r="176" spans="1:15" x14ac:dyDescent="0.25">
      <c r="A176" s="4" t="s">
        <v>273</v>
      </c>
      <c r="B176" s="5">
        <v>45895</v>
      </c>
      <c r="C176" s="4" t="s">
        <v>68</v>
      </c>
      <c r="D176" s="4" t="s">
        <v>88</v>
      </c>
      <c r="E176" s="4" t="s">
        <v>57</v>
      </c>
      <c r="F176" s="4" t="s">
        <v>58</v>
      </c>
      <c r="G176" s="4" t="s">
        <v>103</v>
      </c>
      <c r="H176" s="4">
        <v>3</v>
      </c>
      <c r="I176" s="6">
        <v>55000</v>
      </c>
      <c r="J176" s="7">
        <v>0.1</v>
      </c>
      <c r="K176" s="6">
        <v>148500</v>
      </c>
      <c r="L176" s="6">
        <v>106522.84526882569</v>
      </c>
      <c r="M176" s="6">
        <v>41977.154731174327</v>
      </c>
      <c r="N176" s="4" t="s">
        <v>79</v>
      </c>
      <c r="O176" s="4" t="s">
        <v>66</v>
      </c>
    </row>
    <row r="177" spans="1:15" x14ac:dyDescent="0.25">
      <c r="A177" s="4" t="s">
        <v>274</v>
      </c>
      <c r="B177" s="5">
        <v>45921</v>
      </c>
      <c r="C177" s="4" t="s">
        <v>68</v>
      </c>
      <c r="D177" s="4" t="s">
        <v>108</v>
      </c>
      <c r="E177" s="4" t="s">
        <v>51</v>
      </c>
      <c r="F177" s="4" t="s">
        <v>52</v>
      </c>
      <c r="G177" s="4" t="s">
        <v>98</v>
      </c>
      <c r="H177" s="4">
        <v>7</v>
      </c>
      <c r="I177" s="6">
        <v>80</v>
      </c>
      <c r="J177" s="7">
        <v>0</v>
      </c>
      <c r="K177" s="6">
        <v>560</v>
      </c>
      <c r="L177" s="6">
        <v>405.97365132961858</v>
      </c>
      <c r="M177" s="6">
        <v>154.0263486703814</v>
      </c>
      <c r="N177" s="4" t="s">
        <v>79</v>
      </c>
      <c r="O177" s="4" t="s">
        <v>66</v>
      </c>
    </row>
    <row r="178" spans="1:15" x14ac:dyDescent="0.25">
      <c r="A178" s="4" t="s">
        <v>275</v>
      </c>
      <c r="B178" s="5">
        <v>45806</v>
      </c>
      <c r="C178" s="4" t="s">
        <v>90</v>
      </c>
      <c r="D178" s="4" t="s">
        <v>114</v>
      </c>
      <c r="E178" s="4" t="s">
        <v>123</v>
      </c>
      <c r="F178" s="4" t="s">
        <v>52</v>
      </c>
      <c r="G178" s="4" t="s">
        <v>110</v>
      </c>
      <c r="H178" s="4">
        <v>4</v>
      </c>
      <c r="I178" s="6">
        <v>180</v>
      </c>
      <c r="J178" s="7">
        <v>0</v>
      </c>
      <c r="K178" s="6">
        <v>720</v>
      </c>
      <c r="L178" s="6">
        <v>412.03200966403062</v>
      </c>
      <c r="M178" s="6">
        <v>307.96799033596938</v>
      </c>
      <c r="N178" s="4" t="s">
        <v>54</v>
      </c>
      <c r="O178" s="4" t="s">
        <v>55</v>
      </c>
    </row>
    <row r="179" spans="1:15" x14ac:dyDescent="0.25">
      <c r="A179" s="4" t="s">
        <v>276</v>
      </c>
      <c r="B179" s="5">
        <v>45921</v>
      </c>
      <c r="C179" s="4" t="s">
        <v>61</v>
      </c>
      <c r="D179" s="4" t="s">
        <v>83</v>
      </c>
      <c r="E179" s="4" t="s">
        <v>105</v>
      </c>
      <c r="F179" s="4" t="s">
        <v>52</v>
      </c>
      <c r="G179" s="4" t="s">
        <v>98</v>
      </c>
      <c r="H179" s="4">
        <v>4</v>
      </c>
      <c r="I179" s="6">
        <v>80</v>
      </c>
      <c r="J179" s="7">
        <v>0</v>
      </c>
      <c r="K179" s="6">
        <v>320</v>
      </c>
      <c r="L179" s="6">
        <v>212.67234389560929</v>
      </c>
      <c r="M179" s="6">
        <v>107.3276561043907</v>
      </c>
      <c r="N179" s="4" t="s">
        <v>79</v>
      </c>
      <c r="O179" s="4" t="s">
        <v>80</v>
      </c>
    </row>
    <row r="180" spans="1:15" x14ac:dyDescent="0.25">
      <c r="A180" s="4" t="s">
        <v>277</v>
      </c>
      <c r="B180" s="5">
        <v>45768</v>
      </c>
      <c r="C180" s="4" t="s">
        <v>90</v>
      </c>
      <c r="D180" s="4" t="s">
        <v>114</v>
      </c>
      <c r="E180" s="4" t="s">
        <v>101</v>
      </c>
      <c r="F180" s="4" t="s">
        <v>58</v>
      </c>
      <c r="G180" s="4" t="s">
        <v>70</v>
      </c>
      <c r="H180" s="4">
        <v>9</v>
      </c>
      <c r="I180" s="6">
        <v>9000</v>
      </c>
      <c r="J180" s="7">
        <v>0.1</v>
      </c>
      <c r="K180" s="6">
        <v>72900</v>
      </c>
      <c r="L180" s="6">
        <v>62559.371927192617</v>
      </c>
      <c r="M180" s="6">
        <v>10340.62807280738</v>
      </c>
      <c r="N180" s="4" t="s">
        <v>65</v>
      </c>
      <c r="O180" s="4" t="s">
        <v>74</v>
      </c>
    </row>
    <row r="181" spans="1:15" x14ac:dyDescent="0.25">
      <c r="A181" s="4" t="s">
        <v>278</v>
      </c>
      <c r="B181" s="5">
        <v>45878</v>
      </c>
      <c r="C181" s="4" t="s">
        <v>68</v>
      </c>
      <c r="D181" s="4" t="s">
        <v>88</v>
      </c>
      <c r="E181" s="4" t="s">
        <v>131</v>
      </c>
      <c r="F181" s="4" t="s">
        <v>85</v>
      </c>
      <c r="G181" s="4" t="s">
        <v>116</v>
      </c>
      <c r="H181" s="4">
        <v>9</v>
      </c>
      <c r="I181" s="6">
        <v>3000</v>
      </c>
      <c r="J181" s="7">
        <v>0</v>
      </c>
      <c r="K181" s="6">
        <v>27000</v>
      </c>
      <c r="L181" s="6">
        <v>20110.940389093441</v>
      </c>
      <c r="M181" s="6">
        <v>6889.0596109065627</v>
      </c>
      <c r="N181" s="4" t="s">
        <v>79</v>
      </c>
      <c r="O181" s="4" t="s">
        <v>80</v>
      </c>
    </row>
    <row r="182" spans="1:15" x14ac:dyDescent="0.25">
      <c r="A182" s="4" t="s">
        <v>279</v>
      </c>
      <c r="B182" s="5">
        <v>45843</v>
      </c>
      <c r="C182" s="4" t="s">
        <v>90</v>
      </c>
      <c r="D182" s="4" t="s">
        <v>94</v>
      </c>
      <c r="E182" s="4" t="s">
        <v>63</v>
      </c>
      <c r="F182" s="4" t="s">
        <v>58</v>
      </c>
      <c r="G182" s="4" t="s">
        <v>70</v>
      </c>
      <c r="H182" s="4">
        <v>1</v>
      </c>
      <c r="I182" s="6">
        <v>9000</v>
      </c>
      <c r="J182" s="7">
        <v>0.15</v>
      </c>
      <c r="K182" s="6">
        <v>7650</v>
      </c>
      <c r="L182" s="6">
        <v>6112.9609108935038</v>
      </c>
      <c r="M182" s="6">
        <v>1537.039089106496</v>
      </c>
      <c r="N182" s="4" t="s">
        <v>65</v>
      </c>
      <c r="O182" s="4" t="s">
        <v>55</v>
      </c>
    </row>
    <row r="183" spans="1:15" x14ac:dyDescent="0.25">
      <c r="A183" s="4" t="s">
        <v>280</v>
      </c>
      <c r="B183" s="5">
        <v>45831</v>
      </c>
      <c r="C183" s="4" t="s">
        <v>90</v>
      </c>
      <c r="D183" s="4" t="s">
        <v>91</v>
      </c>
      <c r="E183" s="4" t="s">
        <v>101</v>
      </c>
      <c r="F183" s="4" t="s">
        <v>52</v>
      </c>
      <c r="G183" s="4" t="s">
        <v>64</v>
      </c>
      <c r="H183" s="4">
        <v>3</v>
      </c>
      <c r="I183" s="6">
        <v>120</v>
      </c>
      <c r="J183" s="7">
        <v>0</v>
      </c>
      <c r="K183" s="6">
        <v>360</v>
      </c>
      <c r="L183" s="6">
        <v>230.61522741392869</v>
      </c>
      <c r="M183" s="6">
        <v>129.38477258607131</v>
      </c>
      <c r="N183" s="4" t="s">
        <v>65</v>
      </c>
      <c r="O183" s="4" t="s">
        <v>66</v>
      </c>
    </row>
    <row r="184" spans="1:15" x14ac:dyDescent="0.25">
      <c r="A184" s="4" t="s">
        <v>281</v>
      </c>
      <c r="B184" s="5">
        <v>45900</v>
      </c>
      <c r="C184" s="4" t="s">
        <v>90</v>
      </c>
      <c r="D184" s="4" t="s">
        <v>91</v>
      </c>
      <c r="E184" s="4" t="s">
        <v>105</v>
      </c>
      <c r="F184" s="4" t="s">
        <v>58</v>
      </c>
      <c r="G184" s="4" t="s">
        <v>103</v>
      </c>
      <c r="H184" s="4">
        <v>1</v>
      </c>
      <c r="I184" s="6">
        <v>55000</v>
      </c>
      <c r="J184" s="7">
        <v>0</v>
      </c>
      <c r="K184" s="6">
        <v>55000</v>
      </c>
      <c r="L184" s="6">
        <v>39276.936856008797</v>
      </c>
      <c r="M184" s="6">
        <v>15723.063143991199</v>
      </c>
      <c r="N184" s="4" t="s">
        <v>65</v>
      </c>
      <c r="O184" s="4" t="s">
        <v>66</v>
      </c>
    </row>
    <row r="185" spans="1:15" x14ac:dyDescent="0.25">
      <c r="A185" s="4" t="s">
        <v>282</v>
      </c>
      <c r="B185" s="5">
        <v>45811</v>
      </c>
      <c r="C185" s="4" t="s">
        <v>68</v>
      </c>
      <c r="D185" s="4" t="s">
        <v>108</v>
      </c>
      <c r="E185" s="4" t="s">
        <v>101</v>
      </c>
      <c r="F185" s="4" t="s">
        <v>52</v>
      </c>
      <c r="G185" s="4" t="s">
        <v>53</v>
      </c>
      <c r="H185" s="4">
        <v>7</v>
      </c>
      <c r="I185" s="6">
        <v>250</v>
      </c>
      <c r="J185" s="7">
        <v>0.15</v>
      </c>
      <c r="K185" s="6">
        <v>1487.5</v>
      </c>
      <c r="L185" s="6">
        <v>1260.0760426308759</v>
      </c>
      <c r="M185" s="6">
        <v>227.42395736912431</v>
      </c>
      <c r="N185" s="4" t="s">
        <v>54</v>
      </c>
      <c r="O185" s="4" t="s">
        <v>55</v>
      </c>
    </row>
    <row r="186" spans="1:15" x14ac:dyDescent="0.25">
      <c r="A186" s="4" t="s">
        <v>283</v>
      </c>
      <c r="B186" s="5">
        <v>45956</v>
      </c>
      <c r="C186" s="4" t="s">
        <v>68</v>
      </c>
      <c r="D186" s="4" t="s">
        <v>88</v>
      </c>
      <c r="E186" s="4" t="s">
        <v>63</v>
      </c>
      <c r="F186" s="4" t="s">
        <v>58</v>
      </c>
      <c r="G186" s="4" t="s">
        <v>73</v>
      </c>
      <c r="H186" s="4">
        <v>6</v>
      </c>
      <c r="I186" s="6">
        <v>1800</v>
      </c>
      <c r="J186" s="7">
        <v>0</v>
      </c>
      <c r="K186" s="6">
        <v>10800</v>
      </c>
      <c r="L186" s="6">
        <v>8374.0667094490382</v>
      </c>
      <c r="M186" s="6">
        <v>2425.9332905509618</v>
      </c>
      <c r="N186" s="4" t="s">
        <v>54</v>
      </c>
      <c r="O186" s="4" t="s">
        <v>74</v>
      </c>
    </row>
    <row r="187" spans="1:15" x14ac:dyDescent="0.25">
      <c r="A187" s="4" t="s">
        <v>284</v>
      </c>
      <c r="B187" s="5">
        <v>45980</v>
      </c>
      <c r="C187" s="4" t="s">
        <v>90</v>
      </c>
      <c r="D187" s="4" t="s">
        <v>94</v>
      </c>
      <c r="E187" s="4" t="s">
        <v>123</v>
      </c>
      <c r="F187" s="4" t="s">
        <v>77</v>
      </c>
      <c r="G187" s="4" t="s">
        <v>158</v>
      </c>
      <c r="H187" s="4">
        <v>10</v>
      </c>
      <c r="I187" s="6">
        <v>7000</v>
      </c>
      <c r="J187" s="7">
        <v>0.1</v>
      </c>
      <c r="K187" s="6">
        <v>63000</v>
      </c>
      <c r="L187" s="6">
        <v>41245.244194121216</v>
      </c>
      <c r="M187" s="6">
        <v>21754.75580587878</v>
      </c>
      <c r="N187" s="4" t="s">
        <v>65</v>
      </c>
      <c r="O187" s="4" t="s">
        <v>66</v>
      </c>
    </row>
    <row r="188" spans="1:15" x14ac:dyDescent="0.25">
      <c r="A188" s="4" t="s">
        <v>285</v>
      </c>
      <c r="B188" s="5">
        <v>45735</v>
      </c>
      <c r="C188" s="4" t="s">
        <v>49</v>
      </c>
      <c r="D188" s="4" t="s">
        <v>76</v>
      </c>
      <c r="E188" s="4" t="s">
        <v>123</v>
      </c>
      <c r="F188" s="4" t="s">
        <v>58</v>
      </c>
      <c r="G188" s="4" t="s">
        <v>59</v>
      </c>
      <c r="H188" s="4">
        <v>1</v>
      </c>
      <c r="I188" s="6">
        <v>12000</v>
      </c>
      <c r="J188" s="7">
        <v>0.1</v>
      </c>
      <c r="K188" s="6">
        <v>10800</v>
      </c>
      <c r="L188" s="6">
        <v>7465.7912543105604</v>
      </c>
      <c r="M188" s="6">
        <v>3334.2087456894401</v>
      </c>
      <c r="N188" s="4" t="s">
        <v>54</v>
      </c>
      <c r="O188" s="4" t="s">
        <v>66</v>
      </c>
    </row>
    <row r="189" spans="1:15" x14ac:dyDescent="0.25">
      <c r="A189" s="4" t="s">
        <v>286</v>
      </c>
      <c r="B189" s="5">
        <v>45945</v>
      </c>
      <c r="C189" s="4" t="s">
        <v>90</v>
      </c>
      <c r="D189" s="4" t="s">
        <v>91</v>
      </c>
      <c r="E189" s="4" t="s">
        <v>101</v>
      </c>
      <c r="F189" s="4" t="s">
        <v>85</v>
      </c>
      <c r="G189" s="4" t="s">
        <v>106</v>
      </c>
      <c r="H189" s="4">
        <v>12</v>
      </c>
      <c r="I189" s="6">
        <v>900</v>
      </c>
      <c r="J189" s="7">
        <v>0</v>
      </c>
      <c r="K189" s="6">
        <v>10800</v>
      </c>
      <c r="L189" s="6">
        <v>7228.4090975153213</v>
      </c>
      <c r="M189" s="6">
        <v>3571.5909024846792</v>
      </c>
      <c r="N189" s="4" t="s">
        <v>54</v>
      </c>
      <c r="O189" s="4" t="s">
        <v>55</v>
      </c>
    </row>
    <row r="190" spans="1:15" x14ac:dyDescent="0.25">
      <c r="A190" s="4" t="s">
        <v>287</v>
      </c>
      <c r="B190" s="5">
        <v>45839</v>
      </c>
      <c r="C190" s="4" t="s">
        <v>90</v>
      </c>
      <c r="D190" s="4" t="s">
        <v>94</v>
      </c>
      <c r="E190" s="4" t="s">
        <v>63</v>
      </c>
      <c r="F190" s="4" t="s">
        <v>77</v>
      </c>
      <c r="G190" s="4" t="s">
        <v>119</v>
      </c>
      <c r="H190" s="4">
        <v>15</v>
      </c>
      <c r="I190" s="6">
        <v>8000</v>
      </c>
      <c r="J190" s="7">
        <v>0.15</v>
      </c>
      <c r="K190" s="6">
        <v>102000</v>
      </c>
      <c r="L190" s="6">
        <v>75448.225688018952</v>
      </c>
      <c r="M190" s="6">
        <v>26551.774311981051</v>
      </c>
      <c r="N190" s="4" t="s">
        <v>54</v>
      </c>
      <c r="O190" s="4" t="s">
        <v>55</v>
      </c>
    </row>
    <row r="191" spans="1:15" x14ac:dyDescent="0.25">
      <c r="A191" s="4" t="s">
        <v>288</v>
      </c>
      <c r="B191" s="5">
        <v>46018</v>
      </c>
      <c r="C191" s="4" t="s">
        <v>61</v>
      </c>
      <c r="D191" s="4" t="s">
        <v>83</v>
      </c>
      <c r="E191" s="4" t="s">
        <v>57</v>
      </c>
      <c r="F191" s="4" t="s">
        <v>52</v>
      </c>
      <c r="G191" s="4" t="s">
        <v>98</v>
      </c>
      <c r="H191" s="4">
        <v>4</v>
      </c>
      <c r="I191" s="6">
        <v>80</v>
      </c>
      <c r="J191" s="7">
        <v>0.05</v>
      </c>
      <c r="K191" s="6">
        <v>304</v>
      </c>
      <c r="L191" s="6">
        <v>232.75842620485059</v>
      </c>
      <c r="M191" s="6">
        <v>71.241573795149407</v>
      </c>
      <c r="N191" s="4" t="s">
        <v>54</v>
      </c>
      <c r="O191" s="4" t="s">
        <v>55</v>
      </c>
    </row>
    <row r="192" spans="1:15" x14ac:dyDescent="0.25">
      <c r="A192" s="4" t="s">
        <v>289</v>
      </c>
      <c r="B192" s="5">
        <v>45936</v>
      </c>
      <c r="C192" s="4" t="s">
        <v>68</v>
      </c>
      <c r="D192" s="4" t="s">
        <v>88</v>
      </c>
      <c r="E192" s="4" t="s">
        <v>123</v>
      </c>
      <c r="F192" s="4" t="s">
        <v>52</v>
      </c>
      <c r="G192" s="4" t="s">
        <v>98</v>
      </c>
      <c r="H192" s="4">
        <v>5</v>
      </c>
      <c r="I192" s="6">
        <v>80</v>
      </c>
      <c r="J192" s="7">
        <v>0</v>
      </c>
      <c r="K192" s="6">
        <v>400</v>
      </c>
      <c r="L192" s="6">
        <v>272.75986595637528</v>
      </c>
      <c r="M192" s="6">
        <v>127.24013404362471</v>
      </c>
      <c r="N192" s="4" t="s">
        <v>79</v>
      </c>
      <c r="O192" s="4" t="s">
        <v>80</v>
      </c>
    </row>
    <row r="193" spans="1:15" x14ac:dyDescent="0.25">
      <c r="A193" s="4" t="s">
        <v>290</v>
      </c>
      <c r="B193" s="5">
        <v>45884</v>
      </c>
      <c r="C193" s="4" t="s">
        <v>61</v>
      </c>
      <c r="D193" s="4" t="s">
        <v>62</v>
      </c>
      <c r="E193" s="4" t="s">
        <v>63</v>
      </c>
      <c r="F193" s="4" t="s">
        <v>58</v>
      </c>
      <c r="G193" s="4" t="s">
        <v>73</v>
      </c>
      <c r="H193" s="4">
        <v>12</v>
      </c>
      <c r="I193" s="6">
        <v>1800</v>
      </c>
      <c r="J193" s="7">
        <v>0</v>
      </c>
      <c r="K193" s="6">
        <v>21600</v>
      </c>
      <c r="L193" s="6">
        <v>13600.73393802702</v>
      </c>
      <c r="M193" s="6">
        <v>7999.2660619729759</v>
      </c>
      <c r="N193" s="4" t="s">
        <v>54</v>
      </c>
      <c r="O193" s="4" t="s">
        <v>55</v>
      </c>
    </row>
    <row r="194" spans="1:15" x14ac:dyDescent="0.25">
      <c r="A194" s="4" t="s">
        <v>291</v>
      </c>
      <c r="B194" s="5">
        <v>45958</v>
      </c>
      <c r="C194" s="4" t="s">
        <v>61</v>
      </c>
      <c r="D194" s="4" t="s">
        <v>83</v>
      </c>
      <c r="E194" s="4" t="s">
        <v>57</v>
      </c>
      <c r="F194" s="4" t="s">
        <v>52</v>
      </c>
      <c r="G194" s="4" t="s">
        <v>98</v>
      </c>
      <c r="H194" s="4">
        <v>3</v>
      </c>
      <c r="I194" s="6">
        <v>80</v>
      </c>
      <c r="J194" s="7">
        <v>0</v>
      </c>
      <c r="K194" s="6">
        <v>240</v>
      </c>
      <c r="L194" s="6">
        <v>165.98537229967999</v>
      </c>
      <c r="M194" s="6">
        <v>74.014627700320034</v>
      </c>
      <c r="N194" s="4" t="s">
        <v>65</v>
      </c>
      <c r="O194" s="4" t="s">
        <v>74</v>
      </c>
    </row>
    <row r="195" spans="1:15" x14ac:dyDescent="0.25">
      <c r="A195" s="4" t="s">
        <v>292</v>
      </c>
      <c r="B195" s="5">
        <v>45899</v>
      </c>
      <c r="C195" s="4" t="s">
        <v>61</v>
      </c>
      <c r="D195" s="4" t="s">
        <v>100</v>
      </c>
      <c r="E195" s="4" t="s">
        <v>51</v>
      </c>
      <c r="F195" s="4" t="s">
        <v>77</v>
      </c>
      <c r="G195" s="4" t="s">
        <v>158</v>
      </c>
      <c r="H195" s="4">
        <v>2</v>
      </c>
      <c r="I195" s="6">
        <v>7000</v>
      </c>
      <c r="J195" s="7">
        <v>0.1</v>
      </c>
      <c r="K195" s="6">
        <v>12600</v>
      </c>
      <c r="L195" s="6">
        <v>8763.545467629232</v>
      </c>
      <c r="M195" s="6">
        <v>3836.454532370768</v>
      </c>
      <c r="N195" s="4" t="s">
        <v>54</v>
      </c>
      <c r="O195" s="4" t="s">
        <v>66</v>
      </c>
    </row>
    <row r="196" spans="1:15" x14ac:dyDescent="0.25">
      <c r="A196" s="4" t="s">
        <v>293</v>
      </c>
      <c r="B196" s="5">
        <v>45760</v>
      </c>
      <c r="C196" s="4" t="s">
        <v>49</v>
      </c>
      <c r="D196" s="4" t="s">
        <v>76</v>
      </c>
      <c r="E196" s="4" t="s">
        <v>63</v>
      </c>
      <c r="F196" s="4" t="s">
        <v>77</v>
      </c>
      <c r="G196" s="4" t="s">
        <v>119</v>
      </c>
      <c r="H196" s="4">
        <v>11</v>
      </c>
      <c r="I196" s="6">
        <v>8000</v>
      </c>
      <c r="J196" s="7">
        <v>0.1</v>
      </c>
      <c r="K196" s="6">
        <v>79200</v>
      </c>
      <c r="L196" s="6">
        <v>58063.558053723747</v>
      </c>
      <c r="M196" s="6">
        <v>21136.441946276249</v>
      </c>
      <c r="N196" s="4" t="s">
        <v>79</v>
      </c>
      <c r="O196" s="4" t="s">
        <v>80</v>
      </c>
    </row>
    <row r="197" spans="1:15" x14ac:dyDescent="0.25">
      <c r="A197" s="4" t="s">
        <v>294</v>
      </c>
      <c r="B197" s="5">
        <v>45748</v>
      </c>
      <c r="C197" s="4" t="s">
        <v>49</v>
      </c>
      <c r="D197" s="4" t="s">
        <v>50</v>
      </c>
      <c r="E197" s="4" t="s">
        <v>84</v>
      </c>
      <c r="F197" s="4" t="s">
        <v>77</v>
      </c>
      <c r="G197" s="4" t="s">
        <v>158</v>
      </c>
      <c r="H197" s="4">
        <v>15</v>
      </c>
      <c r="I197" s="6">
        <v>7000</v>
      </c>
      <c r="J197" s="7">
        <v>0</v>
      </c>
      <c r="K197" s="6">
        <v>105000</v>
      </c>
      <c r="L197" s="6">
        <v>67841.922321216887</v>
      </c>
      <c r="M197" s="6">
        <v>37158.077678783113</v>
      </c>
      <c r="N197" s="4" t="s">
        <v>79</v>
      </c>
      <c r="O197" s="4" t="s">
        <v>55</v>
      </c>
    </row>
    <row r="198" spans="1:15" x14ac:dyDescent="0.25">
      <c r="A198" s="4" t="s">
        <v>295</v>
      </c>
      <c r="B198" s="5">
        <v>45712</v>
      </c>
      <c r="C198" s="4" t="s">
        <v>61</v>
      </c>
      <c r="D198" s="4" t="s">
        <v>100</v>
      </c>
      <c r="E198" s="4" t="s">
        <v>101</v>
      </c>
      <c r="F198" s="4" t="s">
        <v>52</v>
      </c>
      <c r="G198" s="4" t="s">
        <v>64</v>
      </c>
      <c r="H198" s="4">
        <v>1</v>
      </c>
      <c r="I198" s="6">
        <v>120</v>
      </c>
      <c r="J198" s="7">
        <v>0.05</v>
      </c>
      <c r="K198" s="6">
        <v>114</v>
      </c>
      <c r="L198" s="6">
        <v>81.675747575140079</v>
      </c>
      <c r="M198" s="6">
        <v>32.324252424859921</v>
      </c>
      <c r="N198" s="4" t="s">
        <v>79</v>
      </c>
      <c r="O198" s="4" t="s">
        <v>55</v>
      </c>
    </row>
    <row r="199" spans="1:15" x14ac:dyDescent="0.25">
      <c r="A199" s="4" t="s">
        <v>296</v>
      </c>
      <c r="B199" s="5">
        <v>45892</v>
      </c>
      <c r="C199" s="4" t="s">
        <v>90</v>
      </c>
      <c r="D199" s="4" t="s">
        <v>114</v>
      </c>
      <c r="E199" s="4" t="s">
        <v>63</v>
      </c>
      <c r="F199" s="4" t="s">
        <v>85</v>
      </c>
      <c r="G199" s="4" t="s">
        <v>116</v>
      </c>
      <c r="H199" s="4">
        <v>4</v>
      </c>
      <c r="I199" s="6">
        <v>3000</v>
      </c>
      <c r="J199" s="7">
        <v>0</v>
      </c>
      <c r="K199" s="6">
        <v>12000</v>
      </c>
      <c r="L199" s="6">
        <v>7512.6881072557289</v>
      </c>
      <c r="M199" s="6">
        <v>4487.3118927442711</v>
      </c>
      <c r="N199" s="4" t="s">
        <v>54</v>
      </c>
      <c r="O199" s="4" t="s">
        <v>66</v>
      </c>
    </row>
    <row r="200" spans="1:15" x14ac:dyDescent="0.25">
      <c r="A200" s="4" t="s">
        <v>297</v>
      </c>
      <c r="B200" s="5">
        <v>45985</v>
      </c>
      <c r="C200" s="4" t="s">
        <v>49</v>
      </c>
      <c r="D200" s="4" t="s">
        <v>76</v>
      </c>
      <c r="E200" s="4" t="s">
        <v>123</v>
      </c>
      <c r="F200" s="4" t="s">
        <v>52</v>
      </c>
      <c r="G200" s="4" t="s">
        <v>98</v>
      </c>
      <c r="H200" s="4">
        <v>10</v>
      </c>
      <c r="I200" s="6">
        <v>80</v>
      </c>
      <c r="J200" s="7">
        <v>0</v>
      </c>
      <c r="K200" s="6">
        <v>800</v>
      </c>
      <c r="L200" s="6">
        <v>472.29106414627751</v>
      </c>
      <c r="M200" s="6">
        <v>327.70893585372249</v>
      </c>
      <c r="N200" s="4" t="s">
        <v>79</v>
      </c>
      <c r="O200" s="4" t="s">
        <v>80</v>
      </c>
    </row>
    <row r="201" spans="1:15" x14ac:dyDescent="0.25">
      <c r="A201" s="4" t="s">
        <v>298</v>
      </c>
      <c r="B201" s="5">
        <v>45785</v>
      </c>
      <c r="C201" s="4" t="s">
        <v>49</v>
      </c>
      <c r="D201" s="4" t="s">
        <v>72</v>
      </c>
      <c r="E201" s="4" t="s">
        <v>84</v>
      </c>
      <c r="F201" s="4" t="s">
        <v>58</v>
      </c>
      <c r="G201" s="4" t="s">
        <v>59</v>
      </c>
      <c r="H201" s="4">
        <v>3</v>
      </c>
      <c r="I201" s="6">
        <v>12000</v>
      </c>
      <c r="J201" s="7">
        <v>0.1</v>
      </c>
      <c r="K201" s="6">
        <v>32400</v>
      </c>
      <c r="L201" s="6">
        <v>22479.42182830449</v>
      </c>
      <c r="M201" s="6">
        <v>9920.5781716955134</v>
      </c>
      <c r="N201" s="4" t="s">
        <v>79</v>
      </c>
      <c r="O201" s="4" t="s">
        <v>55</v>
      </c>
    </row>
    <row r="202" spans="1:15" x14ac:dyDescent="0.25">
      <c r="A202" s="4" t="s">
        <v>299</v>
      </c>
      <c r="B202" s="5">
        <v>45663</v>
      </c>
      <c r="C202" s="4" t="s">
        <v>61</v>
      </c>
      <c r="D202" s="4" t="s">
        <v>62</v>
      </c>
      <c r="E202" s="4" t="s">
        <v>63</v>
      </c>
      <c r="F202" s="4" t="s">
        <v>52</v>
      </c>
      <c r="G202" s="4" t="s">
        <v>98</v>
      </c>
      <c r="H202" s="4">
        <v>5</v>
      </c>
      <c r="I202" s="6">
        <v>80</v>
      </c>
      <c r="J202" s="7">
        <v>0.15</v>
      </c>
      <c r="K202" s="6">
        <v>340</v>
      </c>
      <c r="L202" s="6">
        <v>286.50519261289179</v>
      </c>
      <c r="M202" s="6">
        <v>53.49480738710821</v>
      </c>
      <c r="N202" s="4" t="s">
        <v>54</v>
      </c>
      <c r="O202" s="4" t="s">
        <v>80</v>
      </c>
    </row>
    <row r="203" spans="1:15" x14ac:dyDescent="0.25">
      <c r="A203" s="4" t="s">
        <v>300</v>
      </c>
      <c r="B203" s="5">
        <v>45915</v>
      </c>
      <c r="C203" s="4" t="s">
        <v>61</v>
      </c>
      <c r="D203" s="4" t="s">
        <v>83</v>
      </c>
      <c r="E203" s="4" t="s">
        <v>63</v>
      </c>
      <c r="F203" s="4" t="s">
        <v>58</v>
      </c>
      <c r="G203" s="4" t="s">
        <v>70</v>
      </c>
      <c r="H203" s="4">
        <v>5</v>
      </c>
      <c r="I203" s="6">
        <v>9000</v>
      </c>
      <c r="J203" s="7">
        <v>0</v>
      </c>
      <c r="K203" s="6">
        <v>45000</v>
      </c>
      <c r="L203" s="6">
        <v>28946.061944222911</v>
      </c>
      <c r="M203" s="6">
        <v>16053.938055777089</v>
      </c>
      <c r="N203" s="4" t="s">
        <v>54</v>
      </c>
      <c r="O203" s="4" t="s">
        <v>74</v>
      </c>
    </row>
    <row r="204" spans="1:15" x14ac:dyDescent="0.25">
      <c r="A204" s="4" t="s">
        <v>301</v>
      </c>
      <c r="B204" s="5">
        <v>45968</v>
      </c>
      <c r="C204" s="4" t="s">
        <v>68</v>
      </c>
      <c r="D204" s="4" t="s">
        <v>88</v>
      </c>
      <c r="E204" s="4" t="s">
        <v>101</v>
      </c>
      <c r="F204" s="4" t="s">
        <v>77</v>
      </c>
      <c r="G204" s="4" t="s">
        <v>95</v>
      </c>
      <c r="H204" s="4">
        <v>3</v>
      </c>
      <c r="I204" s="6">
        <v>11000</v>
      </c>
      <c r="J204" s="7">
        <v>0.1</v>
      </c>
      <c r="K204" s="6">
        <v>29700</v>
      </c>
      <c r="L204" s="6">
        <v>19312.678435990871</v>
      </c>
      <c r="M204" s="6">
        <v>10387.321564009129</v>
      </c>
      <c r="N204" s="4" t="s">
        <v>79</v>
      </c>
      <c r="O204" s="4" t="s">
        <v>55</v>
      </c>
    </row>
    <row r="205" spans="1:15" x14ac:dyDescent="0.25">
      <c r="A205" s="4" t="s">
        <v>302</v>
      </c>
      <c r="B205" s="5">
        <v>45946</v>
      </c>
      <c r="C205" s="4" t="s">
        <v>61</v>
      </c>
      <c r="D205" s="4" t="s">
        <v>83</v>
      </c>
      <c r="E205" s="4" t="s">
        <v>51</v>
      </c>
      <c r="F205" s="4" t="s">
        <v>58</v>
      </c>
      <c r="G205" s="4" t="s">
        <v>70</v>
      </c>
      <c r="H205" s="4">
        <v>9</v>
      </c>
      <c r="I205" s="6">
        <v>9000</v>
      </c>
      <c r="J205" s="7">
        <v>0.05</v>
      </c>
      <c r="K205" s="6">
        <v>76950</v>
      </c>
      <c r="L205" s="6">
        <v>46005.053713606823</v>
      </c>
      <c r="M205" s="6">
        <v>30944.94628639318</v>
      </c>
      <c r="N205" s="4" t="s">
        <v>65</v>
      </c>
      <c r="O205" s="4" t="s">
        <v>66</v>
      </c>
    </row>
    <row r="206" spans="1:15" x14ac:dyDescent="0.25">
      <c r="A206" s="4" t="s">
        <v>303</v>
      </c>
      <c r="B206" s="5">
        <v>45908</v>
      </c>
      <c r="C206" s="4" t="s">
        <v>61</v>
      </c>
      <c r="D206" s="4" t="s">
        <v>83</v>
      </c>
      <c r="E206" s="4" t="s">
        <v>51</v>
      </c>
      <c r="F206" s="4" t="s">
        <v>52</v>
      </c>
      <c r="G206" s="4" t="s">
        <v>110</v>
      </c>
      <c r="H206" s="4">
        <v>2</v>
      </c>
      <c r="I206" s="6">
        <v>180</v>
      </c>
      <c r="J206" s="7">
        <v>0</v>
      </c>
      <c r="K206" s="6">
        <v>360</v>
      </c>
      <c r="L206" s="6">
        <v>257.36080759975778</v>
      </c>
      <c r="M206" s="6">
        <v>102.63919240024219</v>
      </c>
      <c r="N206" s="4" t="s">
        <v>54</v>
      </c>
      <c r="O206" s="4" t="s">
        <v>55</v>
      </c>
    </row>
    <row r="207" spans="1:15" x14ac:dyDescent="0.25">
      <c r="A207" s="4" t="s">
        <v>304</v>
      </c>
      <c r="B207" s="5">
        <v>45894</v>
      </c>
      <c r="C207" s="4" t="s">
        <v>49</v>
      </c>
      <c r="D207" s="4" t="s">
        <v>72</v>
      </c>
      <c r="E207" s="4" t="s">
        <v>63</v>
      </c>
      <c r="F207" s="4" t="s">
        <v>77</v>
      </c>
      <c r="G207" s="4" t="s">
        <v>119</v>
      </c>
      <c r="H207" s="4">
        <v>8</v>
      </c>
      <c r="I207" s="6">
        <v>8000</v>
      </c>
      <c r="J207" s="7">
        <v>0.15</v>
      </c>
      <c r="K207" s="6">
        <v>54400</v>
      </c>
      <c r="L207" s="6">
        <v>36049.885415326768</v>
      </c>
      <c r="M207" s="6">
        <v>18350.114584673229</v>
      </c>
      <c r="N207" s="4" t="s">
        <v>54</v>
      </c>
      <c r="O207" s="4" t="s">
        <v>74</v>
      </c>
    </row>
    <row r="208" spans="1:15" x14ac:dyDescent="0.25">
      <c r="A208" s="4" t="s">
        <v>305</v>
      </c>
      <c r="B208" s="5">
        <v>45834</v>
      </c>
      <c r="C208" s="4" t="s">
        <v>90</v>
      </c>
      <c r="D208" s="4" t="s">
        <v>94</v>
      </c>
      <c r="E208" s="4" t="s">
        <v>51</v>
      </c>
      <c r="F208" s="4" t="s">
        <v>58</v>
      </c>
      <c r="G208" s="4" t="s">
        <v>59</v>
      </c>
      <c r="H208" s="4">
        <v>10</v>
      </c>
      <c r="I208" s="6">
        <v>12000</v>
      </c>
      <c r="J208" s="7">
        <v>0</v>
      </c>
      <c r="K208" s="6">
        <v>120000</v>
      </c>
      <c r="L208" s="6">
        <v>67249.998555288083</v>
      </c>
      <c r="M208" s="6">
        <v>52750.001444711917</v>
      </c>
      <c r="N208" s="4" t="s">
        <v>54</v>
      </c>
      <c r="O208" s="4" t="s">
        <v>74</v>
      </c>
    </row>
    <row r="209" spans="1:15" x14ac:dyDescent="0.25">
      <c r="A209" s="4" t="s">
        <v>306</v>
      </c>
      <c r="B209" s="5">
        <v>45986</v>
      </c>
      <c r="C209" s="4" t="s">
        <v>49</v>
      </c>
      <c r="D209" s="4" t="s">
        <v>72</v>
      </c>
      <c r="E209" s="4" t="s">
        <v>123</v>
      </c>
      <c r="F209" s="4" t="s">
        <v>58</v>
      </c>
      <c r="G209" s="4" t="s">
        <v>73</v>
      </c>
      <c r="H209" s="4">
        <v>7</v>
      </c>
      <c r="I209" s="6">
        <v>1800</v>
      </c>
      <c r="J209" s="7">
        <v>0</v>
      </c>
      <c r="K209" s="6">
        <v>12600</v>
      </c>
      <c r="L209" s="6">
        <v>9158.4810373669334</v>
      </c>
      <c r="M209" s="6">
        <v>3441.5189626330671</v>
      </c>
      <c r="N209" s="4" t="s">
        <v>79</v>
      </c>
      <c r="O209" s="4" t="s">
        <v>55</v>
      </c>
    </row>
    <row r="210" spans="1:15" x14ac:dyDescent="0.25">
      <c r="A210" s="4" t="s">
        <v>307</v>
      </c>
      <c r="B210" s="5">
        <v>45836</v>
      </c>
      <c r="C210" s="4" t="s">
        <v>90</v>
      </c>
      <c r="D210" s="4" t="s">
        <v>94</v>
      </c>
      <c r="E210" s="4" t="s">
        <v>51</v>
      </c>
      <c r="F210" s="4" t="s">
        <v>85</v>
      </c>
      <c r="G210" s="4" t="s">
        <v>106</v>
      </c>
      <c r="H210" s="4">
        <v>11</v>
      </c>
      <c r="I210" s="6">
        <v>900</v>
      </c>
      <c r="J210" s="7">
        <v>0.15</v>
      </c>
      <c r="K210" s="6">
        <v>8415</v>
      </c>
      <c r="L210" s="6">
        <v>5747.8177890263287</v>
      </c>
      <c r="M210" s="6">
        <v>2667.1822109736709</v>
      </c>
      <c r="N210" s="4" t="s">
        <v>65</v>
      </c>
      <c r="O210" s="4" t="s">
        <v>55</v>
      </c>
    </row>
    <row r="211" spans="1:15" x14ac:dyDescent="0.25">
      <c r="A211" s="4" t="s">
        <v>308</v>
      </c>
      <c r="B211" s="5">
        <v>45895</v>
      </c>
      <c r="C211" s="4" t="s">
        <v>61</v>
      </c>
      <c r="D211" s="4" t="s">
        <v>100</v>
      </c>
      <c r="E211" s="4" t="s">
        <v>123</v>
      </c>
      <c r="F211" s="4" t="s">
        <v>77</v>
      </c>
      <c r="G211" s="4" t="s">
        <v>158</v>
      </c>
      <c r="H211" s="4">
        <v>13</v>
      </c>
      <c r="I211" s="6">
        <v>7000</v>
      </c>
      <c r="J211" s="7">
        <v>0</v>
      </c>
      <c r="K211" s="6">
        <v>91000</v>
      </c>
      <c r="L211" s="6">
        <v>70529.809988474386</v>
      </c>
      <c r="M211" s="6">
        <v>20470.19001152561</v>
      </c>
      <c r="N211" s="4" t="s">
        <v>54</v>
      </c>
      <c r="O211" s="4" t="s">
        <v>55</v>
      </c>
    </row>
    <row r="212" spans="1:15" x14ac:dyDescent="0.25">
      <c r="A212" s="4" t="s">
        <v>309</v>
      </c>
      <c r="B212" s="5">
        <v>45715</v>
      </c>
      <c r="C212" s="4" t="s">
        <v>61</v>
      </c>
      <c r="D212" s="4" t="s">
        <v>83</v>
      </c>
      <c r="E212" s="4" t="s">
        <v>84</v>
      </c>
      <c r="F212" s="4" t="s">
        <v>85</v>
      </c>
      <c r="G212" s="4" t="s">
        <v>116</v>
      </c>
      <c r="H212" s="4">
        <v>3</v>
      </c>
      <c r="I212" s="6">
        <v>3000</v>
      </c>
      <c r="J212" s="7">
        <v>0.05</v>
      </c>
      <c r="K212" s="6">
        <v>8550</v>
      </c>
      <c r="L212" s="6">
        <v>5340.1545340600569</v>
      </c>
      <c r="M212" s="6">
        <v>3209.8454659399431</v>
      </c>
      <c r="N212" s="4" t="s">
        <v>54</v>
      </c>
      <c r="O212" s="4" t="s">
        <v>55</v>
      </c>
    </row>
    <row r="213" spans="1:15" x14ac:dyDescent="0.25">
      <c r="A213" s="4" t="s">
        <v>310</v>
      </c>
      <c r="B213" s="5">
        <v>45964</v>
      </c>
      <c r="C213" s="4" t="s">
        <v>49</v>
      </c>
      <c r="D213" s="4" t="s">
        <v>50</v>
      </c>
      <c r="E213" s="4" t="s">
        <v>84</v>
      </c>
      <c r="F213" s="4" t="s">
        <v>77</v>
      </c>
      <c r="G213" s="4" t="s">
        <v>158</v>
      </c>
      <c r="H213" s="4">
        <v>2</v>
      </c>
      <c r="I213" s="6">
        <v>7000</v>
      </c>
      <c r="J213" s="7">
        <v>0.15</v>
      </c>
      <c r="K213" s="6">
        <v>11900</v>
      </c>
      <c r="L213" s="6">
        <v>7808.1156079287839</v>
      </c>
      <c r="M213" s="6">
        <v>4091.8843920712161</v>
      </c>
      <c r="N213" s="4" t="s">
        <v>65</v>
      </c>
      <c r="O213" s="4" t="s">
        <v>74</v>
      </c>
    </row>
    <row r="214" spans="1:15" x14ac:dyDescent="0.25">
      <c r="A214" s="4" t="s">
        <v>311</v>
      </c>
      <c r="B214" s="5">
        <v>45806</v>
      </c>
      <c r="C214" s="4" t="s">
        <v>90</v>
      </c>
      <c r="D214" s="4" t="s">
        <v>94</v>
      </c>
      <c r="E214" s="4" t="s">
        <v>57</v>
      </c>
      <c r="F214" s="4" t="s">
        <v>77</v>
      </c>
      <c r="G214" s="4" t="s">
        <v>95</v>
      </c>
      <c r="H214" s="4">
        <v>13</v>
      </c>
      <c r="I214" s="6">
        <v>11000</v>
      </c>
      <c r="J214" s="7">
        <v>0</v>
      </c>
      <c r="K214" s="6">
        <v>143000</v>
      </c>
      <c r="L214" s="6">
        <v>83259.059065529218</v>
      </c>
      <c r="M214" s="6">
        <v>59740.940934470782</v>
      </c>
      <c r="N214" s="4" t="s">
        <v>54</v>
      </c>
      <c r="O214" s="4" t="s">
        <v>80</v>
      </c>
    </row>
    <row r="215" spans="1:15" x14ac:dyDescent="0.25">
      <c r="A215" s="4" t="s">
        <v>312</v>
      </c>
      <c r="B215" s="5">
        <v>45811</v>
      </c>
      <c r="C215" s="4" t="s">
        <v>68</v>
      </c>
      <c r="D215" s="4" t="s">
        <v>69</v>
      </c>
      <c r="E215" s="4" t="s">
        <v>63</v>
      </c>
      <c r="F215" s="4" t="s">
        <v>52</v>
      </c>
      <c r="G215" s="4" t="s">
        <v>53</v>
      </c>
      <c r="H215" s="4">
        <v>11</v>
      </c>
      <c r="I215" s="6">
        <v>250</v>
      </c>
      <c r="J215" s="7">
        <v>0.15</v>
      </c>
      <c r="K215" s="6">
        <v>2337.5</v>
      </c>
      <c r="L215" s="6">
        <v>1652.309533332116</v>
      </c>
      <c r="M215" s="6">
        <v>685.19046666788449</v>
      </c>
      <c r="N215" s="4" t="s">
        <v>65</v>
      </c>
      <c r="O215" s="4" t="s">
        <v>66</v>
      </c>
    </row>
    <row r="216" spans="1:15" x14ac:dyDescent="0.25">
      <c r="A216" s="4" t="s">
        <v>313</v>
      </c>
      <c r="B216" s="5">
        <v>45821</v>
      </c>
      <c r="C216" s="4" t="s">
        <v>90</v>
      </c>
      <c r="D216" s="4" t="s">
        <v>91</v>
      </c>
      <c r="E216" s="4" t="s">
        <v>123</v>
      </c>
      <c r="F216" s="4" t="s">
        <v>85</v>
      </c>
      <c r="G216" s="4" t="s">
        <v>106</v>
      </c>
      <c r="H216" s="4">
        <v>6</v>
      </c>
      <c r="I216" s="6">
        <v>900</v>
      </c>
      <c r="J216" s="7">
        <v>0.1</v>
      </c>
      <c r="K216" s="6">
        <v>4860</v>
      </c>
      <c r="L216" s="6">
        <v>3945.9693082078029</v>
      </c>
      <c r="M216" s="6">
        <v>914.03069179219665</v>
      </c>
      <c r="N216" s="4" t="s">
        <v>79</v>
      </c>
      <c r="O216" s="4" t="s">
        <v>66</v>
      </c>
    </row>
    <row r="217" spans="1:15" x14ac:dyDescent="0.25">
      <c r="A217" s="4" t="s">
        <v>314</v>
      </c>
      <c r="B217" s="5">
        <v>46020</v>
      </c>
      <c r="C217" s="4" t="s">
        <v>68</v>
      </c>
      <c r="D217" s="4" t="s">
        <v>88</v>
      </c>
      <c r="E217" s="4" t="s">
        <v>131</v>
      </c>
      <c r="F217" s="4" t="s">
        <v>77</v>
      </c>
      <c r="G217" s="4" t="s">
        <v>119</v>
      </c>
      <c r="H217" s="4">
        <v>4</v>
      </c>
      <c r="I217" s="6">
        <v>8000</v>
      </c>
      <c r="J217" s="7">
        <v>0</v>
      </c>
      <c r="K217" s="6">
        <v>32000</v>
      </c>
      <c r="L217" s="6">
        <v>19813.420042332291</v>
      </c>
      <c r="M217" s="6">
        <v>12186.579957667709</v>
      </c>
      <c r="N217" s="4" t="s">
        <v>79</v>
      </c>
      <c r="O217" s="4" t="s">
        <v>74</v>
      </c>
    </row>
    <row r="218" spans="1:15" x14ac:dyDescent="0.25">
      <c r="A218" s="4" t="s">
        <v>315</v>
      </c>
      <c r="B218" s="5">
        <v>45989</v>
      </c>
      <c r="C218" s="4" t="s">
        <v>90</v>
      </c>
      <c r="D218" s="4" t="s">
        <v>94</v>
      </c>
      <c r="E218" s="4" t="s">
        <v>51</v>
      </c>
      <c r="F218" s="4" t="s">
        <v>77</v>
      </c>
      <c r="G218" s="4" t="s">
        <v>119</v>
      </c>
      <c r="H218" s="4">
        <v>4</v>
      </c>
      <c r="I218" s="6">
        <v>8000</v>
      </c>
      <c r="J218" s="7">
        <v>0.05</v>
      </c>
      <c r="K218" s="6">
        <v>30400</v>
      </c>
      <c r="L218" s="6">
        <v>19096.558355321999</v>
      </c>
      <c r="M218" s="6">
        <v>11303.441644678</v>
      </c>
      <c r="N218" s="4" t="s">
        <v>79</v>
      </c>
      <c r="O218" s="4" t="s">
        <v>80</v>
      </c>
    </row>
    <row r="219" spans="1:15" x14ac:dyDescent="0.25">
      <c r="A219" s="4" t="s">
        <v>316</v>
      </c>
      <c r="B219" s="5">
        <v>45966</v>
      </c>
      <c r="C219" s="4" t="s">
        <v>49</v>
      </c>
      <c r="D219" s="4" t="s">
        <v>76</v>
      </c>
      <c r="E219" s="4" t="s">
        <v>84</v>
      </c>
      <c r="F219" s="4" t="s">
        <v>77</v>
      </c>
      <c r="G219" s="4" t="s">
        <v>158</v>
      </c>
      <c r="H219" s="4">
        <v>5</v>
      </c>
      <c r="I219" s="6">
        <v>7000</v>
      </c>
      <c r="J219" s="7">
        <v>0.1</v>
      </c>
      <c r="K219" s="6">
        <v>31500</v>
      </c>
      <c r="L219" s="6">
        <v>24673.05896110836</v>
      </c>
      <c r="M219" s="6">
        <v>6826.9410388916403</v>
      </c>
      <c r="N219" s="4" t="s">
        <v>65</v>
      </c>
      <c r="O219" s="4" t="s">
        <v>66</v>
      </c>
    </row>
    <row r="220" spans="1:15" x14ac:dyDescent="0.25">
      <c r="A220" s="4" t="s">
        <v>317</v>
      </c>
      <c r="B220" s="5">
        <v>45755</v>
      </c>
      <c r="C220" s="4" t="s">
        <v>61</v>
      </c>
      <c r="D220" s="4" t="s">
        <v>62</v>
      </c>
      <c r="E220" s="4" t="s">
        <v>51</v>
      </c>
      <c r="F220" s="4" t="s">
        <v>77</v>
      </c>
      <c r="G220" s="4" t="s">
        <v>78</v>
      </c>
      <c r="H220" s="4">
        <v>5</v>
      </c>
      <c r="I220" s="6">
        <v>6500</v>
      </c>
      <c r="J220" s="7">
        <v>0</v>
      </c>
      <c r="K220" s="6">
        <v>32500</v>
      </c>
      <c r="L220" s="6">
        <v>19458.263096066341</v>
      </c>
      <c r="M220" s="6">
        <v>13041.736903933661</v>
      </c>
      <c r="N220" s="4" t="s">
        <v>54</v>
      </c>
      <c r="O220" s="4" t="s">
        <v>55</v>
      </c>
    </row>
    <row r="221" spans="1:15" x14ac:dyDescent="0.25">
      <c r="A221" s="4" t="s">
        <v>318</v>
      </c>
      <c r="B221" s="5">
        <v>45802</v>
      </c>
      <c r="C221" s="4" t="s">
        <v>61</v>
      </c>
      <c r="D221" s="4" t="s">
        <v>100</v>
      </c>
      <c r="E221" s="4" t="s">
        <v>123</v>
      </c>
      <c r="F221" s="4" t="s">
        <v>77</v>
      </c>
      <c r="G221" s="4" t="s">
        <v>119</v>
      </c>
      <c r="H221" s="4">
        <v>15</v>
      </c>
      <c r="I221" s="6">
        <v>8000</v>
      </c>
      <c r="J221" s="7">
        <v>0</v>
      </c>
      <c r="K221" s="6">
        <v>120000</v>
      </c>
      <c r="L221" s="6">
        <v>81237.388474319683</v>
      </c>
      <c r="M221" s="6">
        <v>38762.611525680317</v>
      </c>
      <c r="N221" s="4" t="s">
        <v>79</v>
      </c>
      <c r="O221" s="4" t="s">
        <v>80</v>
      </c>
    </row>
    <row r="222" spans="1:15" x14ac:dyDescent="0.25">
      <c r="A222" s="4" t="s">
        <v>319</v>
      </c>
      <c r="B222" s="5">
        <v>45898</v>
      </c>
      <c r="C222" s="4" t="s">
        <v>68</v>
      </c>
      <c r="D222" s="4" t="s">
        <v>88</v>
      </c>
      <c r="E222" s="4" t="s">
        <v>101</v>
      </c>
      <c r="F222" s="4" t="s">
        <v>52</v>
      </c>
      <c r="G222" s="4" t="s">
        <v>110</v>
      </c>
      <c r="H222" s="4">
        <v>8</v>
      </c>
      <c r="I222" s="6">
        <v>180</v>
      </c>
      <c r="J222" s="7">
        <v>0</v>
      </c>
      <c r="K222" s="6">
        <v>1440</v>
      </c>
      <c r="L222" s="6">
        <v>1057.8928651467911</v>
      </c>
      <c r="M222" s="6">
        <v>382.10713485320889</v>
      </c>
      <c r="N222" s="4" t="s">
        <v>65</v>
      </c>
      <c r="O222" s="4" t="s">
        <v>80</v>
      </c>
    </row>
    <row r="223" spans="1:15" x14ac:dyDescent="0.25">
      <c r="A223" s="4" t="s">
        <v>320</v>
      </c>
      <c r="B223" s="5">
        <v>45941</v>
      </c>
      <c r="C223" s="4" t="s">
        <v>68</v>
      </c>
      <c r="D223" s="4" t="s">
        <v>88</v>
      </c>
      <c r="E223" s="4" t="s">
        <v>123</v>
      </c>
      <c r="F223" s="4" t="s">
        <v>58</v>
      </c>
      <c r="G223" s="4" t="s">
        <v>59</v>
      </c>
      <c r="H223" s="4">
        <v>12</v>
      </c>
      <c r="I223" s="6">
        <v>12000</v>
      </c>
      <c r="J223" s="7">
        <v>0</v>
      </c>
      <c r="K223" s="6">
        <v>144000</v>
      </c>
      <c r="L223" s="6">
        <v>79737.203121161758</v>
      </c>
      <c r="M223" s="6">
        <v>64262.796878838242</v>
      </c>
      <c r="N223" s="4" t="s">
        <v>79</v>
      </c>
      <c r="O223" s="4" t="s">
        <v>66</v>
      </c>
    </row>
    <row r="224" spans="1:15" x14ac:dyDescent="0.25">
      <c r="A224" s="4" t="s">
        <v>321</v>
      </c>
      <c r="B224" s="5">
        <v>45993</v>
      </c>
      <c r="C224" s="4" t="s">
        <v>61</v>
      </c>
      <c r="D224" s="4" t="s">
        <v>62</v>
      </c>
      <c r="E224" s="4" t="s">
        <v>101</v>
      </c>
      <c r="F224" s="4" t="s">
        <v>77</v>
      </c>
      <c r="G224" s="4" t="s">
        <v>119</v>
      </c>
      <c r="H224" s="4">
        <v>10</v>
      </c>
      <c r="I224" s="6">
        <v>8000</v>
      </c>
      <c r="J224" s="7">
        <v>0</v>
      </c>
      <c r="K224" s="6">
        <v>80000</v>
      </c>
      <c r="L224" s="6">
        <v>53187.14727559554</v>
      </c>
      <c r="M224" s="6">
        <v>26812.85272440446</v>
      </c>
      <c r="N224" s="4" t="s">
        <v>79</v>
      </c>
      <c r="O224" s="4" t="s">
        <v>55</v>
      </c>
    </row>
    <row r="225" spans="1:15" x14ac:dyDescent="0.25">
      <c r="A225" s="4" t="s">
        <v>322</v>
      </c>
      <c r="B225" s="5">
        <v>45908</v>
      </c>
      <c r="C225" s="4" t="s">
        <v>90</v>
      </c>
      <c r="D225" s="4" t="s">
        <v>94</v>
      </c>
      <c r="E225" s="4" t="s">
        <v>131</v>
      </c>
      <c r="F225" s="4" t="s">
        <v>77</v>
      </c>
      <c r="G225" s="4" t="s">
        <v>78</v>
      </c>
      <c r="H225" s="4">
        <v>3</v>
      </c>
      <c r="I225" s="6">
        <v>6500</v>
      </c>
      <c r="J225" s="7">
        <v>0</v>
      </c>
      <c r="K225" s="6">
        <v>19500</v>
      </c>
      <c r="L225" s="6">
        <v>13955.60618546799</v>
      </c>
      <c r="M225" s="6">
        <v>5544.3938145320099</v>
      </c>
      <c r="N225" s="4" t="s">
        <v>54</v>
      </c>
      <c r="O225" s="4" t="s">
        <v>74</v>
      </c>
    </row>
    <row r="226" spans="1:15" x14ac:dyDescent="0.25">
      <c r="A226" s="4" t="s">
        <v>323</v>
      </c>
      <c r="B226" s="5">
        <v>45776</v>
      </c>
      <c r="C226" s="4" t="s">
        <v>49</v>
      </c>
      <c r="D226" s="4" t="s">
        <v>50</v>
      </c>
      <c r="E226" s="4" t="s">
        <v>51</v>
      </c>
      <c r="F226" s="4" t="s">
        <v>58</v>
      </c>
      <c r="G226" s="4" t="s">
        <v>103</v>
      </c>
      <c r="H226" s="4">
        <v>7</v>
      </c>
      <c r="I226" s="6">
        <v>55000</v>
      </c>
      <c r="J226" s="7">
        <v>0</v>
      </c>
      <c r="K226" s="6">
        <v>385000</v>
      </c>
      <c r="L226" s="6">
        <v>286357.33467488462</v>
      </c>
      <c r="M226" s="6">
        <v>98642.665325115377</v>
      </c>
      <c r="N226" s="4" t="s">
        <v>54</v>
      </c>
      <c r="O226" s="4" t="s">
        <v>66</v>
      </c>
    </row>
    <row r="227" spans="1:15" x14ac:dyDescent="0.25">
      <c r="A227" s="4" t="s">
        <v>324</v>
      </c>
      <c r="B227" s="5">
        <v>45973</v>
      </c>
      <c r="C227" s="4" t="s">
        <v>49</v>
      </c>
      <c r="D227" s="4" t="s">
        <v>50</v>
      </c>
      <c r="E227" s="4" t="s">
        <v>105</v>
      </c>
      <c r="F227" s="4" t="s">
        <v>85</v>
      </c>
      <c r="G227" s="4" t="s">
        <v>116</v>
      </c>
      <c r="H227" s="4">
        <v>1</v>
      </c>
      <c r="I227" s="6">
        <v>3000</v>
      </c>
      <c r="J227" s="7">
        <v>0.15</v>
      </c>
      <c r="K227" s="6">
        <v>2550</v>
      </c>
      <c r="L227" s="6">
        <v>2090.0327283148531</v>
      </c>
      <c r="M227" s="6">
        <v>459.96727168514741</v>
      </c>
      <c r="N227" s="4" t="s">
        <v>54</v>
      </c>
      <c r="O227" s="4" t="s">
        <v>55</v>
      </c>
    </row>
    <row r="228" spans="1:15" x14ac:dyDescent="0.25">
      <c r="A228" s="4" t="s">
        <v>325</v>
      </c>
      <c r="B228" s="5">
        <v>45932</v>
      </c>
      <c r="C228" s="4" t="s">
        <v>49</v>
      </c>
      <c r="D228" s="4" t="s">
        <v>50</v>
      </c>
      <c r="E228" s="4" t="s">
        <v>63</v>
      </c>
      <c r="F228" s="4" t="s">
        <v>85</v>
      </c>
      <c r="G228" s="4" t="s">
        <v>106</v>
      </c>
      <c r="H228" s="4">
        <v>1</v>
      </c>
      <c r="I228" s="6">
        <v>900</v>
      </c>
      <c r="J228" s="7">
        <v>0.15</v>
      </c>
      <c r="K228" s="6">
        <v>765</v>
      </c>
      <c r="L228" s="6">
        <v>644.49389337652428</v>
      </c>
      <c r="M228" s="6">
        <v>120.5061066234757</v>
      </c>
      <c r="N228" s="4" t="s">
        <v>65</v>
      </c>
      <c r="O228" s="4" t="s">
        <v>55</v>
      </c>
    </row>
    <row r="229" spans="1:15" x14ac:dyDescent="0.25">
      <c r="A229" s="4" t="s">
        <v>326</v>
      </c>
      <c r="B229" s="5">
        <v>45787</v>
      </c>
      <c r="C229" s="4" t="s">
        <v>61</v>
      </c>
      <c r="D229" s="4" t="s">
        <v>83</v>
      </c>
      <c r="E229" s="4" t="s">
        <v>101</v>
      </c>
      <c r="F229" s="4" t="s">
        <v>58</v>
      </c>
      <c r="G229" s="4" t="s">
        <v>59</v>
      </c>
      <c r="H229" s="4">
        <v>4</v>
      </c>
      <c r="I229" s="6">
        <v>12000</v>
      </c>
      <c r="J229" s="7">
        <v>0</v>
      </c>
      <c r="K229" s="6">
        <v>48000</v>
      </c>
      <c r="L229" s="6">
        <v>33242.380500227773</v>
      </c>
      <c r="M229" s="6">
        <v>14757.61949977223</v>
      </c>
      <c r="N229" s="4" t="s">
        <v>79</v>
      </c>
      <c r="O229" s="4" t="s">
        <v>55</v>
      </c>
    </row>
    <row r="230" spans="1:15" x14ac:dyDescent="0.25">
      <c r="A230" s="4" t="s">
        <v>327</v>
      </c>
      <c r="B230" s="5">
        <v>45773</v>
      </c>
      <c r="C230" s="4" t="s">
        <v>49</v>
      </c>
      <c r="D230" s="4" t="s">
        <v>72</v>
      </c>
      <c r="E230" s="4" t="s">
        <v>63</v>
      </c>
      <c r="F230" s="4" t="s">
        <v>85</v>
      </c>
      <c r="G230" s="4" t="s">
        <v>86</v>
      </c>
      <c r="H230" s="4">
        <v>10</v>
      </c>
      <c r="I230" s="6">
        <v>1200</v>
      </c>
      <c r="J230" s="7">
        <v>0</v>
      </c>
      <c r="K230" s="6">
        <v>12000</v>
      </c>
      <c r="L230" s="6">
        <v>9333.043167325648</v>
      </c>
      <c r="M230" s="6">
        <v>2666.956832674352</v>
      </c>
      <c r="N230" s="4" t="s">
        <v>54</v>
      </c>
      <c r="O230" s="4" t="s">
        <v>74</v>
      </c>
    </row>
    <row r="231" spans="1:15" x14ac:dyDescent="0.25">
      <c r="A231" s="4" t="s">
        <v>328</v>
      </c>
      <c r="B231" s="5">
        <v>45984</v>
      </c>
      <c r="C231" s="4" t="s">
        <v>49</v>
      </c>
      <c r="D231" s="4" t="s">
        <v>50</v>
      </c>
      <c r="E231" s="4" t="s">
        <v>84</v>
      </c>
      <c r="F231" s="4" t="s">
        <v>85</v>
      </c>
      <c r="G231" s="4" t="s">
        <v>86</v>
      </c>
      <c r="H231" s="4">
        <v>7</v>
      </c>
      <c r="I231" s="6">
        <v>1200</v>
      </c>
      <c r="J231" s="7">
        <v>0.15</v>
      </c>
      <c r="K231" s="6">
        <v>7140</v>
      </c>
      <c r="L231" s="6">
        <v>5539.6418534548138</v>
      </c>
      <c r="M231" s="6">
        <v>1600.3581465451859</v>
      </c>
      <c r="N231" s="4" t="s">
        <v>54</v>
      </c>
      <c r="O231" s="4" t="s">
        <v>66</v>
      </c>
    </row>
    <row r="232" spans="1:15" x14ac:dyDescent="0.25">
      <c r="A232" s="4" t="s">
        <v>329</v>
      </c>
      <c r="B232" s="5">
        <v>45679</v>
      </c>
      <c r="C232" s="4" t="s">
        <v>49</v>
      </c>
      <c r="D232" s="4" t="s">
        <v>72</v>
      </c>
      <c r="E232" s="4" t="s">
        <v>57</v>
      </c>
      <c r="F232" s="4" t="s">
        <v>85</v>
      </c>
      <c r="G232" s="4" t="s">
        <v>116</v>
      </c>
      <c r="H232" s="4">
        <v>10</v>
      </c>
      <c r="I232" s="6">
        <v>3000</v>
      </c>
      <c r="J232" s="7">
        <v>0</v>
      </c>
      <c r="K232" s="6">
        <v>30000</v>
      </c>
      <c r="L232" s="6">
        <v>22674.059363784629</v>
      </c>
      <c r="M232" s="6">
        <v>7325.9406362153713</v>
      </c>
      <c r="N232" s="4" t="s">
        <v>65</v>
      </c>
      <c r="O232" s="4" t="s">
        <v>55</v>
      </c>
    </row>
    <row r="233" spans="1:15" x14ac:dyDescent="0.25">
      <c r="A233" s="4" t="s">
        <v>330</v>
      </c>
      <c r="B233" s="5">
        <v>45674</v>
      </c>
      <c r="C233" s="4" t="s">
        <v>68</v>
      </c>
      <c r="D233" s="4" t="s">
        <v>69</v>
      </c>
      <c r="E233" s="4" t="s">
        <v>131</v>
      </c>
      <c r="F233" s="4" t="s">
        <v>58</v>
      </c>
      <c r="G233" s="4" t="s">
        <v>73</v>
      </c>
      <c r="H233" s="4">
        <v>15</v>
      </c>
      <c r="I233" s="6">
        <v>1800</v>
      </c>
      <c r="J233" s="7">
        <v>0.15</v>
      </c>
      <c r="K233" s="6">
        <v>22950</v>
      </c>
      <c r="L233" s="6">
        <v>18349.396255737978</v>
      </c>
      <c r="M233" s="6">
        <v>4600.6037442620218</v>
      </c>
      <c r="N233" s="4" t="s">
        <v>79</v>
      </c>
      <c r="O233" s="4" t="s">
        <v>74</v>
      </c>
    </row>
    <row r="234" spans="1:15" x14ac:dyDescent="0.25">
      <c r="A234" s="4" t="s">
        <v>331</v>
      </c>
      <c r="B234" s="5">
        <v>45946</v>
      </c>
      <c r="C234" s="4" t="s">
        <v>61</v>
      </c>
      <c r="D234" s="4" t="s">
        <v>100</v>
      </c>
      <c r="E234" s="4" t="s">
        <v>57</v>
      </c>
      <c r="F234" s="4" t="s">
        <v>77</v>
      </c>
      <c r="G234" s="4" t="s">
        <v>119</v>
      </c>
      <c r="H234" s="4">
        <v>15</v>
      </c>
      <c r="I234" s="6">
        <v>8000</v>
      </c>
      <c r="J234" s="7">
        <v>0</v>
      </c>
      <c r="K234" s="6">
        <v>120000</v>
      </c>
      <c r="L234" s="6">
        <v>74260.042152431808</v>
      </c>
      <c r="M234" s="6">
        <v>45739.957847568192</v>
      </c>
      <c r="N234" s="4" t="s">
        <v>54</v>
      </c>
      <c r="O234" s="4" t="s">
        <v>55</v>
      </c>
    </row>
    <row r="235" spans="1:15" x14ac:dyDescent="0.25">
      <c r="A235" s="4" t="s">
        <v>332</v>
      </c>
      <c r="B235" s="5">
        <v>45881</v>
      </c>
      <c r="C235" s="4" t="s">
        <v>68</v>
      </c>
      <c r="D235" s="4" t="s">
        <v>88</v>
      </c>
      <c r="E235" s="4" t="s">
        <v>57</v>
      </c>
      <c r="F235" s="4" t="s">
        <v>77</v>
      </c>
      <c r="G235" s="4" t="s">
        <v>158</v>
      </c>
      <c r="H235" s="4">
        <v>9</v>
      </c>
      <c r="I235" s="6">
        <v>7000</v>
      </c>
      <c r="J235" s="7">
        <v>0.05</v>
      </c>
      <c r="K235" s="6">
        <v>59850</v>
      </c>
      <c r="L235" s="6">
        <v>35428.061298917732</v>
      </c>
      <c r="M235" s="6">
        <v>24421.938701082268</v>
      </c>
      <c r="N235" s="4" t="s">
        <v>65</v>
      </c>
      <c r="O235" s="4" t="s">
        <v>80</v>
      </c>
    </row>
    <row r="236" spans="1:15" x14ac:dyDescent="0.25">
      <c r="A236" s="4" t="s">
        <v>333</v>
      </c>
      <c r="B236" s="5">
        <v>45840</v>
      </c>
      <c r="C236" s="4" t="s">
        <v>90</v>
      </c>
      <c r="D236" s="4" t="s">
        <v>94</v>
      </c>
      <c r="E236" s="4" t="s">
        <v>123</v>
      </c>
      <c r="F236" s="4" t="s">
        <v>58</v>
      </c>
      <c r="G236" s="4" t="s">
        <v>73</v>
      </c>
      <c r="H236" s="4">
        <v>13</v>
      </c>
      <c r="I236" s="6">
        <v>1800</v>
      </c>
      <c r="J236" s="7">
        <v>0.1</v>
      </c>
      <c r="K236" s="6">
        <v>21060</v>
      </c>
      <c r="L236" s="6">
        <v>15510.427800788289</v>
      </c>
      <c r="M236" s="6">
        <v>5549.5721992117114</v>
      </c>
      <c r="N236" s="4" t="s">
        <v>79</v>
      </c>
      <c r="O236" s="4" t="s">
        <v>66</v>
      </c>
    </row>
    <row r="237" spans="1:15" x14ac:dyDescent="0.25">
      <c r="A237" s="4" t="s">
        <v>334</v>
      </c>
      <c r="B237" s="5">
        <v>45736</v>
      </c>
      <c r="C237" s="4" t="s">
        <v>90</v>
      </c>
      <c r="D237" s="4" t="s">
        <v>114</v>
      </c>
      <c r="E237" s="4" t="s">
        <v>123</v>
      </c>
      <c r="F237" s="4" t="s">
        <v>52</v>
      </c>
      <c r="G237" s="4" t="s">
        <v>53</v>
      </c>
      <c r="H237" s="4">
        <v>12</v>
      </c>
      <c r="I237" s="6">
        <v>250</v>
      </c>
      <c r="J237" s="7">
        <v>0</v>
      </c>
      <c r="K237" s="6">
        <v>3000</v>
      </c>
      <c r="L237" s="6">
        <v>1706.606226674473</v>
      </c>
      <c r="M237" s="6">
        <v>1293.393773325527</v>
      </c>
      <c r="N237" s="4" t="s">
        <v>54</v>
      </c>
      <c r="O237" s="4" t="s">
        <v>66</v>
      </c>
    </row>
    <row r="238" spans="1:15" x14ac:dyDescent="0.25">
      <c r="A238" s="4" t="s">
        <v>335</v>
      </c>
      <c r="B238" s="5">
        <v>45885</v>
      </c>
      <c r="C238" s="4" t="s">
        <v>90</v>
      </c>
      <c r="D238" s="4" t="s">
        <v>94</v>
      </c>
      <c r="E238" s="4" t="s">
        <v>101</v>
      </c>
      <c r="F238" s="4" t="s">
        <v>52</v>
      </c>
      <c r="G238" s="4" t="s">
        <v>64</v>
      </c>
      <c r="H238" s="4">
        <v>2</v>
      </c>
      <c r="I238" s="6">
        <v>120</v>
      </c>
      <c r="J238" s="7">
        <v>0</v>
      </c>
      <c r="K238" s="6">
        <v>240</v>
      </c>
      <c r="L238" s="6">
        <v>184.05140454930341</v>
      </c>
      <c r="M238" s="6">
        <v>55.948595450696622</v>
      </c>
      <c r="N238" s="4" t="s">
        <v>79</v>
      </c>
      <c r="O238" s="4" t="s">
        <v>74</v>
      </c>
    </row>
    <row r="239" spans="1:15" x14ac:dyDescent="0.25">
      <c r="A239" s="4" t="s">
        <v>336</v>
      </c>
      <c r="B239" s="5">
        <v>45866</v>
      </c>
      <c r="C239" s="4" t="s">
        <v>61</v>
      </c>
      <c r="D239" s="4" t="s">
        <v>83</v>
      </c>
      <c r="E239" s="4" t="s">
        <v>51</v>
      </c>
      <c r="F239" s="4" t="s">
        <v>77</v>
      </c>
      <c r="G239" s="4" t="s">
        <v>119</v>
      </c>
      <c r="H239" s="4">
        <v>8</v>
      </c>
      <c r="I239" s="6">
        <v>8000</v>
      </c>
      <c r="J239" s="7">
        <v>0.15</v>
      </c>
      <c r="K239" s="6">
        <v>54400</v>
      </c>
      <c r="L239" s="6">
        <v>43365.772808962531</v>
      </c>
      <c r="M239" s="6">
        <v>11034.227191037469</v>
      </c>
      <c r="N239" s="4" t="s">
        <v>65</v>
      </c>
      <c r="O239" s="4" t="s">
        <v>74</v>
      </c>
    </row>
    <row r="240" spans="1:15" x14ac:dyDescent="0.25">
      <c r="A240" s="4" t="s">
        <v>337</v>
      </c>
      <c r="B240" s="5">
        <v>45869</v>
      </c>
      <c r="C240" s="4" t="s">
        <v>68</v>
      </c>
      <c r="D240" s="4" t="s">
        <v>108</v>
      </c>
      <c r="E240" s="4" t="s">
        <v>123</v>
      </c>
      <c r="F240" s="4" t="s">
        <v>58</v>
      </c>
      <c r="G240" s="4" t="s">
        <v>73</v>
      </c>
      <c r="H240" s="4">
        <v>14</v>
      </c>
      <c r="I240" s="6">
        <v>1800</v>
      </c>
      <c r="J240" s="7">
        <v>0.1</v>
      </c>
      <c r="K240" s="6">
        <v>22680</v>
      </c>
      <c r="L240" s="6">
        <v>13931.526203867401</v>
      </c>
      <c r="M240" s="6">
        <v>8748.4737961325991</v>
      </c>
      <c r="N240" s="4" t="s">
        <v>65</v>
      </c>
      <c r="O240" s="4" t="s">
        <v>66</v>
      </c>
    </row>
    <row r="241" spans="1:15" x14ac:dyDescent="0.25">
      <c r="A241" s="4" t="s">
        <v>338</v>
      </c>
      <c r="B241" s="5">
        <v>45910</v>
      </c>
      <c r="C241" s="4" t="s">
        <v>61</v>
      </c>
      <c r="D241" s="4" t="s">
        <v>100</v>
      </c>
      <c r="E241" s="4" t="s">
        <v>131</v>
      </c>
      <c r="F241" s="4" t="s">
        <v>85</v>
      </c>
      <c r="G241" s="4" t="s">
        <v>92</v>
      </c>
      <c r="H241" s="4">
        <v>3</v>
      </c>
      <c r="I241" s="6">
        <v>2200</v>
      </c>
      <c r="J241" s="7">
        <v>0.05</v>
      </c>
      <c r="K241" s="6">
        <v>6270</v>
      </c>
      <c r="L241" s="6">
        <v>4087.117260839354</v>
      </c>
      <c r="M241" s="6">
        <v>2182.882739160646</v>
      </c>
      <c r="N241" s="4" t="s">
        <v>65</v>
      </c>
      <c r="O241" s="4" t="s">
        <v>66</v>
      </c>
    </row>
    <row r="242" spans="1:15" x14ac:dyDescent="0.25">
      <c r="A242" s="4" t="s">
        <v>339</v>
      </c>
      <c r="B242" s="5">
        <v>45784</v>
      </c>
      <c r="C242" s="4" t="s">
        <v>90</v>
      </c>
      <c r="D242" s="4" t="s">
        <v>94</v>
      </c>
      <c r="E242" s="4" t="s">
        <v>105</v>
      </c>
      <c r="F242" s="4" t="s">
        <v>85</v>
      </c>
      <c r="G242" s="4" t="s">
        <v>116</v>
      </c>
      <c r="H242" s="4">
        <v>8</v>
      </c>
      <c r="I242" s="6">
        <v>3000</v>
      </c>
      <c r="J242" s="7">
        <v>0</v>
      </c>
      <c r="K242" s="6">
        <v>24000</v>
      </c>
      <c r="L242" s="6">
        <v>15193.409515838201</v>
      </c>
      <c r="M242" s="6">
        <v>8806.590484161803</v>
      </c>
      <c r="N242" s="4" t="s">
        <v>54</v>
      </c>
      <c r="O242" s="4" t="s">
        <v>66</v>
      </c>
    </row>
    <row r="243" spans="1:15" x14ac:dyDescent="0.25">
      <c r="A243" s="4" t="s">
        <v>340</v>
      </c>
      <c r="B243" s="5">
        <v>45975</v>
      </c>
      <c r="C243" s="4" t="s">
        <v>90</v>
      </c>
      <c r="D243" s="4" t="s">
        <v>114</v>
      </c>
      <c r="E243" s="4" t="s">
        <v>123</v>
      </c>
      <c r="F243" s="4" t="s">
        <v>77</v>
      </c>
      <c r="G243" s="4" t="s">
        <v>78</v>
      </c>
      <c r="H243" s="4">
        <v>1</v>
      </c>
      <c r="I243" s="6">
        <v>6500</v>
      </c>
      <c r="J243" s="7">
        <v>0.1</v>
      </c>
      <c r="K243" s="6">
        <v>5850</v>
      </c>
      <c r="L243" s="6">
        <v>4071.664736890883</v>
      </c>
      <c r="M243" s="6">
        <v>1778.335263109117</v>
      </c>
      <c r="N243" s="4" t="s">
        <v>79</v>
      </c>
      <c r="O243" s="4" t="s">
        <v>55</v>
      </c>
    </row>
    <row r="244" spans="1:15" x14ac:dyDescent="0.25">
      <c r="A244" s="4" t="s">
        <v>341</v>
      </c>
      <c r="B244" s="5">
        <v>45760</v>
      </c>
      <c r="C244" s="4" t="s">
        <v>68</v>
      </c>
      <c r="D244" s="4" t="s">
        <v>88</v>
      </c>
      <c r="E244" s="4" t="s">
        <v>105</v>
      </c>
      <c r="F244" s="4" t="s">
        <v>77</v>
      </c>
      <c r="G244" s="4" t="s">
        <v>78</v>
      </c>
      <c r="H244" s="4">
        <v>6</v>
      </c>
      <c r="I244" s="6">
        <v>6500</v>
      </c>
      <c r="J244" s="7">
        <v>0.15</v>
      </c>
      <c r="K244" s="6">
        <v>33150</v>
      </c>
      <c r="L244" s="6">
        <v>29947.091930484559</v>
      </c>
      <c r="M244" s="6">
        <v>3202.9080695154412</v>
      </c>
      <c r="N244" s="4" t="s">
        <v>79</v>
      </c>
      <c r="O244" s="4" t="s">
        <v>66</v>
      </c>
    </row>
    <row r="245" spans="1:15" x14ac:dyDescent="0.25">
      <c r="A245" s="4" t="s">
        <v>342</v>
      </c>
      <c r="B245" s="5">
        <v>45801</v>
      </c>
      <c r="C245" s="4" t="s">
        <v>90</v>
      </c>
      <c r="D245" s="4" t="s">
        <v>94</v>
      </c>
      <c r="E245" s="4" t="s">
        <v>123</v>
      </c>
      <c r="F245" s="4" t="s">
        <v>52</v>
      </c>
      <c r="G245" s="4" t="s">
        <v>110</v>
      </c>
      <c r="H245" s="4">
        <v>10</v>
      </c>
      <c r="I245" s="6">
        <v>180</v>
      </c>
      <c r="J245" s="7">
        <v>0</v>
      </c>
      <c r="K245" s="6">
        <v>1800</v>
      </c>
      <c r="L245" s="6">
        <v>1124.9169023013631</v>
      </c>
      <c r="M245" s="6">
        <v>675.08309769863718</v>
      </c>
      <c r="N245" s="4" t="s">
        <v>79</v>
      </c>
      <c r="O245" s="4" t="s">
        <v>74</v>
      </c>
    </row>
    <row r="246" spans="1:15" x14ac:dyDescent="0.25">
      <c r="A246" s="4" t="s">
        <v>343</v>
      </c>
      <c r="B246" s="5">
        <v>45765</v>
      </c>
      <c r="C246" s="4" t="s">
        <v>61</v>
      </c>
      <c r="D246" s="4" t="s">
        <v>100</v>
      </c>
      <c r="E246" s="4" t="s">
        <v>105</v>
      </c>
      <c r="F246" s="4" t="s">
        <v>77</v>
      </c>
      <c r="G246" s="4" t="s">
        <v>158</v>
      </c>
      <c r="H246" s="4">
        <v>12</v>
      </c>
      <c r="I246" s="6">
        <v>7000</v>
      </c>
      <c r="J246" s="7">
        <v>0.1</v>
      </c>
      <c r="K246" s="6">
        <v>75600</v>
      </c>
      <c r="L246" s="6">
        <v>64418.275365871581</v>
      </c>
      <c r="M246" s="6">
        <v>11181.724634128421</v>
      </c>
      <c r="N246" s="4" t="s">
        <v>79</v>
      </c>
      <c r="O246" s="4" t="s">
        <v>74</v>
      </c>
    </row>
    <row r="247" spans="1:15" x14ac:dyDescent="0.25">
      <c r="A247" s="4" t="s">
        <v>344</v>
      </c>
      <c r="B247" s="5">
        <v>45995</v>
      </c>
      <c r="C247" s="4" t="s">
        <v>90</v>
      </c>
      <c r="D247" s="4" t="s">
        <v>91</v>
      </c>
      <c r="E247" s="4" t="s">
        <v>131</v>
      </c>
      <c r="F247" s="4" t="s">
        <v>85</v>
      </c>
      <c r="G247" s="4" t="s">
        <v>92</v>
      </c>
      <c r="H247" s="4">
        <v>11</v>
      </c>
      <c r="I247" s="6">
        <v>2200</v>
      </c>
      <c r="J247" s="7">
        <v>0.05</v>
      </c>
      <c r="K247" s="6">
        <v>22990</v>
      </c>
      <c r="L247" s="6">
        <v>14657.089819255671</v>
      </c>
      <c r="M247" s="6">
        <v>8332.9101807443312</v>
      </c>
      <c r="N247" s="4" t="s">
        <v>54</v>
      </c>
      <c r="O247" s="4" t="s">
        <v>55</v>
      </c>
    </row>
    <row r="248" spans="1:15" x14ac:dyDescent="0.25">
      <c r="A248" s="4" t="s">
        <v>345</v>
      </c>
      <c r="B248" s="5">
        <v>46012</v>
      </c>
      <c r="C248" s="4" t="s">
        <v>90</v>
      </c>
      <c r="D248" s="4" t="s">
        <v>114</v>
      </c>
      <c r="E248" s="4" t="s">
        <v>123</v>
      </c>
      <c r="F248" s="4" t="s">
        <v>85</v>
      </c>
      <c r="G248" s="4" t="s">
        <v>86</v>
      </c>
      <c r="H248" s="4">
        <v>10</v>
      </c>
      <c r="I248" s="6">
        <v>1200</v>
      </c>
      <c r="J248" s="7">
        <v>0.1</v>
      </c>
      <c r="K248" s="6">
        <v>10800</v>
      </c>
      <c r="L248" s="6">
        <v>8074.8540273178442</v>
      </c>
      <c r="M248" s="6">
        <v>2725.1459726821558</v>
      </c>
      <c r="N248" s="4" t="s">
        <v>54</v>
      </c>
      <c r="O248" s="4" t="s">
        <v>74</v>
      </c>
    </row>
    <row r="249" spans="1:15" x14ac:dyDescent="0.25">
      <c r="A249" s="4" t="s">
        <v>346</v>
      </c>
      <c r="B249" s="5">
        <v>45839</v>
      </c>
      <c r="C249" s="4" t="s">
        <v>68</v>
      </c>
      <c r="D249" s="4" t="s">
        <v>108</v>
      </c>
      <c r="E249" s="4" t="s">
        <v>131</v>
      </c>
      <c r="F249" s="4" t="s">
        <v>58</v>
      </c>
      <c r="G249" s="4" t="s">
        <v>103</v>
      </c>
      <c r="H249" s="4">
        <v>13</v>
      </c>
      <c r="I249" s="6">
        <v>55000</v>
      </c>
      <c r="J249" s="7">
        <v>0</v>
      </c>
      <c r="K249" s="6">
        <v>715000</v>
      </c>
      <c r="L249" s="6">
        <v>501392.5904513069</v>
      </c>
      <c r="M249" s="6">
        <v>213607.4095486931</v>
      </c>
      <c r="N249" s="4" t="s">
        <v>54</v>
      </c>
      <c r="O249" s="4" t="s">
        <v>74</v>
      </c>
    </row>
    <row r="250" spans="1:15" x14ac:dyDescent="0.25">
      <c r="A250" s="4" t="s">
        <v>347</v>
      </c>
      <c r="B250" s="5">
        <v>45919</v>
      </c>
      <c r="C250" s="4" t="s">
        <v>90</v>
      </c>
      <c r="D250" s="4" t="s">
        <v>94</v>
      </c>
      <c r="E250" s="4" t="s">
        <v>57</v>
      </c>
      <c r="F250" s="4" t="s">
        <v>85</v>
      </c>
      <c r="G250" s="4" t="s">
        <v>106</v>
      </c>
      <c r="H250" s="4">
        <v>1</v>
      </c>
      <c r="I250" s="6">
        <v>900</v>
      </c>
      <c r="J250" s="7">
        <v>0</v>
      </c>
      <c r="K250" s="6">
        <v>900</v>
      </c>
      <c r="L250" s="6">
        <v>548.55884267355668</v>
      </c>
      <c r="M250" s="6">
        <v>351.44115732644332</v>
      </c>
      <c r="N250" s="4" t="s">
        <v>79</v>
      </c>
      <c r="O250" s="4" t="s">
        <v>80</v>
      </c>
    </row>
    <row r="251" spans="1:15" x14ac:dyDescent="0.25">
      <c r="A251" s="4" t="s">
        <v>348</v>
      </c>
      <c r="B251" s="5">
        <v>45870</v>
      </c>
      <c r="C251" s="4" t="s">
        <v>90</v>
      </c>
      <c r="D251" s="4" t="s">
        <v>94</v>
      </c>
      <c r="E251" s="4" t="s">
        <v>51</v>
      </c>
      <c r="F251" s="4" t="s">
        <v>77</v>
      </c>
      <c r="G251" s="4" t="s">
        <v>78</v>
      </c>
      <c r="H251" s="4">
        <v>1</v>
      </c>
      <c r="I251" s="6">
        <v>6500</v>
      </c>
      <c r="J251" s="7">
        <v>0.1</v>
      </c>
      <c r="K251" s="6">
        <v>5850</v>
      </c>
      <c r="L251" s="6">
        <v>3731.301290219063</v>
      </c>
      <c r="M251" s="6">
        <v>2118.698709780937</v>
      </c>
      <c r="N251" s="4" t="s">
        <v>65</v>
      </c>
      <c r="O251" s="4" t="s">
        <v>66</v>
      </c>
    </row>
    <row r="252" spans="1:15" x14ac:dyDescent="0.25">
      <c r="A252" s="4" t="s">
        <v>349</v>
      </c>
      <c r="B252" s="5">
        <v>45836</v>
      </c>
      <c r="C252" s="4" t="s">
        <v>68</v>
      </c>
      <c r="D252" s="4" t="s">
        <v>88</v>
      </c>
      <c r="E252" s="4" t="s">
        <v>105</v>
      </c>
      <c r="F252" s="4" t="s">
        <v>52</v>
      </c>
      <c r="G252" s="4" t="s">
        <v>110</v>
      </c>
      <c r="H252" s="4">
        <v>13</v>
      </c>
      <c r="I252" s="6">
        <v>180</v>
      </c>
      <c r="J252" s="7">
        <v>0</v>
      </c>
      <c r="K252" s="6">
        <v>2340</v>
      </c>
      <c r="L252" s="6">
        <v>1567.4640013986141</v>
      </c>
      <c r="M252" s="6">
        <v>772.53599860138615</v>
      </c>
      <c r="N252" s="4" t="s">
        <v>65</v>
      </c>
      <c r="O252" s="4" t="s">
        <v>55</v>
      </c>
    </row>
    <row r="253" spans="1:15" x14ac:dyDescent="0.25">
      <c r="A253" s="4" t="s">
        <v>350</v>
      </c>
      <c r="B253" s="5">
        <v>45833</v>
      </c>
      <c r="C253" s="4" t="s">
        <v>90</v>
      </c>
      <c r="D253" s="4" t="s">
        <v>94</v>
      </c>
      <c r="E253" s="4" t="s">
        <v>51</v>
      </c>
      <c r="F253" s="4" t="s">
        <v>58</v>
      </c>
      <c r="G253" s="4" t="s">
        <v>73</v>
      </c>
      <c r="H253" s="4">
        <v>1</v>
      </c>
      <c r="I253" s="6">
        <v>1800</v>
      </c>
      <c r="J253" s="7">
        <v>0</v>
      </c>
      <c r="K253" s="6">
        <v>1800</v>
      </c>
      <c r="L253" s="6">
        <v>999.35023769408861</v>
      </c>
      <c r="M253" s="6">
        <v>800.64976230591139</v>
      </c>
      <c r="N253" s="4" t="s">
        <v>54</v>
      </c>
      <c r="O253" s="4" t="s">
        <v>66</v>
      </c>
    </row>
    <row r="254" spans="1:15" x14ac:dyDescent="0.25">
      <c r="A254" s="4" t="s">
        <v>351</v>
      </c>
      <c r="B254" s="5">
        <v>45894</v>
      </c>
      <c r="C254" s="4" t="s">
        <v>61</v>
      </c>
      <c r="D254" s="4" t="s">
        <v>100</v>
      </c>
      <c r="E254" s="4" t="s">
        <v>57</v>
      </c>
      <c r="F254" s="4" t="s">
        <v>77</v>
      </c>
      <c r="G254" s="4" t="s">
        <v>95</v>
      </c>
      <c r="H254" s="4">
        <v>6</v>
      </c>
      <c r="I254" s="6">
        <v>11000</v>
      </c>
      <c r="J254" s="7">
        <v>0.15</v>
      </c>
      <c r="K254" s="6">
        <v>56100</v>
      </c>
      <c r="L254" s="6">
        <v>42772.287243377141</v>
      </c>
      <c r="M254" s="6">
        <v>13327.712756622859</v>
      </c>
      <c r="N254" s="4" t="s">
        <v>79</v>
      </c>
      <c r="O254" s="4" t="s">
        <v>66</v>
      </c>
    </row>
    <row r="255" spans="1:15" x14ac:dyDescent="0.25">
      <c r="A255" s="4" t="s">
        <v>352</v>
      </c>
      <c r="B255" s="5">
        <v>45888</v>
      </c>
      <c r="C255" s="4" t="s">
        <v>61</v>
      </c>
      <c r="D255" s="4" t="s">
        <v>100</v>
      </c>
      <c r="E255" s="4" t="s">
        <v>123</v>
      </c>
      <c r="F255" s="4" t="s">
        <v>85</v>
      </c>
      <c r="G255" s="4" t="s">
        <v>86</v>
      </c>
      <c r="H255" s="4">
        <v>1</v>
      </c>
      <c r="I255" s="6">
        <v>1200</v>
      </c>
      <c r="J255" s="7">
        <v>0.15</v>
      </c>
      <c r="K255" s="6">
        <v>1020</v>
      </c>
      <c r="L255" s="6">
        <v>903.73487533972809</v>
      </c>
      <c r="M255" s="6">
        <v>116.26512466027189</v>
      </c>
      <c r="N255" s="4" t="s">
        <v>79</v>
      </c>
      <c r="O255" s="4" t="s">
        <v>74</v>
      </c>
    </row>
    <row r="256" spans="1:15" x14ac:dyDescent="0.25">
      <c r="A256" s="4" t="s">
        <v>353</v>
      </c>
      <c r="B256" s="5">
        <v>45932</v>
      </c>
      <c r="C256" s="4" t="s">
        <v>61</v>
      </c>
      <c r="D256" s="4" t="s">
        <v>83</v>
      </c>
      <c r="E256" s="4" t="s">
        <v>131</v>
      </c>
      <c r="F256" s="4" t="s">
        <v>52</v>
      </c>
      <c r="G256" s="4" t="s">
        <v>64</v>
      </c>
      <c r="H256" s="4">
        <v>10</v>
      </c>
      <c r="I256" s="6">
        <v>120</v>
      </c>
      <c r="J256" s="7">
        <v>0</v>
      </c>
      <c r="K256" s="6">
        <v>1200</v>
      </c>
      <c r="L256" s="6">
        <v>880.66265050073184</v>
      </c>
      <c r="M256" s="6">
        <v>319.33734949926821</v>
      </c>
      <c r="N256" s="4" t="s">
        <v>79</v>
      </c>
      <c r="O256" s="4" t="s">
        <v>80</v>
      </c>
    </row>
    <row r="257" spans="1:15" x14ac:dyDescent="0.25">
      <c r="A257" s="4" t="s">
        <v>354</v>
      </c>
      <c r="B257" s="5">
        <v>45985</v>
      </c>
      <c r="C257" s="4" t="s">
        <v>61</v>
      </c>
      <c r="D257" s="4" t="s">
        <v>62</v>
      </c>
      <c r="E257" s="4" t="s">
        <v>101</v>
      </c>
      <c r="F257" s="4" t="s">
        <v>58</v>
      </c>
      <c r="G257" s="4" t="s">
        <v>73</v>
      </c>
      <c r="H257" s="4">
        <v>11</v>
      </c>
      <c r="I257" s="6">
        <v>1800</v>
      </c>
      <c r="J257" s="7">
        <v>0.1</v>
      </c>
      <c r="K257" s="6">
        <v>17820</v>
      </c>
      <c r="L257" s="6">
        <v>13293.21419938492</v>
      </c>
      <c r="M257" s="6">
        <v>4526.7858006150764</v>
      </c>
      <c r="N257" s="4" t="s">
        <v>54</v>
      </c>
      <c r="O257" s="4" t="s">
        <v>55</v>
      </c>
    </row>
    <row r="258" spans="1:15" x14ac:dyDescent="0.25">
      <c r="A258" s="4" t="s">
        <v>355</v>
      </c>
      <c r="B258" s="5">
        <v>46002</v>
      </c>
      <c r="C258" s="4" t="s">
        <v>90</v>
      </c>
      <c r="D258" s="4" t="s">
        <v>91</v>
      </c>
      <c r="E258" s="4" t="s">
        <v>63</v>
      </c>
      <c r="F258" s="4" t="s">
        <v>58</v>
      </c>
      <c r="G258" s="4" t="s">
        <v>73</v>
      </c>
      <c r="H258" s="4">
        <v>6</v>
      </c>
      <c r="I258" s="6">
        <v>1800</v>
      </c>
      <c r="J258" s="7">
        <v>0.1</v>
      </c>
      <c r="K258" s="6">
        <v>9720</v>
      </c>
      <c r="L258" s="6">
        <v>7473.5288954716798</v>
      </c>
      <c r="M258" s="6">
        <v>2246.4711045283202</v>
      </c>
      <c r="N258" s="4" t="s">
        <v>54</v>
      </c>
      <c r="O258" s="4" t="s">
        <v>74</v>
      </c>
    </row>
    <row r="259" spans="1:15" x14ac:dyDescent="0.25">
      <c r="A259" s="4" t="s">
        <v>356</v>
      </c>
      <c r="B259" s="5">
        <v>46013</v>
      </c>
      <c r="C259" s="4" t="s">
        <v>61</v>
      </c>
      <c r="D259" s="4" t="s">
        <v>62</v>
      </c>
      <c r="E259" s="4" t="s">
        <v>131</v>
      </c>
      <c r="F259" s="4" t="s">
        <v>58</v>
      </c>
      <c r="G259" s="4" t="s">
        <v>59</v>
      </c>
      <c r="H259" s="4">
        <v>5</v>
      </c>
      <c r="I259" s="6">
        <v>12000</v>
      </c>
      <c r="J259" s="7">
        <v>0</v>
      </c>
      <c r="K259" s="6">
        <v>60000</v>
      </c>
      <c r="L259" s="6">
        <v>35526.014352974467</v>
      </c>
      <c r="M259" s="6">
        <v>24473.985647025529</v>
      </c>
      <c r="N259" s="4" t="s">
        <v>54</v>
      </c>
      <c r="O259" s="4" t="s">
        <v>55</v>
      </c>
    </row>
    <row r="260" spans="1:15" x14ac:dyDescent="0.25">
      <c r="A260" s="4" t="s">
        <v>357</v>
      </c>
      <c r="B260" s="5">
        <v>45933</v>
      </c>
      <c r="C260" s="4" t="s">
        <v>90</v>
      </c>
      <c r="D260" s="4" t="s">
        <v>91</v>
      </c>
      <c r="E260" s="4" t="s">
        <v>131</v>
      </c>
      <c r="F260" s="4" t="s">
        <v>77</v>
      </c>
      <c r="G260" s="4" t="s">
        <v>119</v>
      </c>
      <c r="H260" s="4">
        <v>7</v>
      </c>
      <c r="I260" s="6">
        <v>8000</v>
      </c>
      <c r="J260" s="7">
        <v>0</v>
      </c>
      <c r="K260" s="6">
        <v>56000</v>
      </c>
      <c r="L260" s="6">
        <v>37068.312378117902</v>
      </c>
      <c r="M260" s="6">
        <v>18931.687621882102</v>
      </c>
      <c r="N260" s="4" t="s">
        <v>54</v>
      </c>
      <c r="O260" s="4" t="s">
        <v>66</v>
      </c>
    </row>
    <row r="261" spans="1:15" x14ac:dyDescent="0.25">
      <c r="A261" s="4" t="s">
        <v>358</v>
      </c>
      <c r="B261" s="5">
        <v>45841</v>
      </c>
      <c r="C261" s="4" t="s">
        <v>90</v>
      </c>
      <c r="D261" s="4" t="s">
        <v>94</v>
      </c>
      <c r="E261" s="4" t="s">
        <v>84</v>
      </c>
      <c r="F261" s="4" t="s">
        <v>77</v>
      </c>
      <c r="G261" s="4" t="s">
        <v>95</v>
      </c>
      <c r="H261" s="4">
        <v>6</v>
      </c>
      <c r="I261" s="6">
        <v>11000</v>
      </c>
      <c r="J261" s="7">
        <v>0.1</v>
      </c>
      <c r="K261" s="6">
        <v>59400</v>
      </c>
      <c r="L261" s="6">
        <v>45702.64347801968</v>
      </c>
      <c r="M261" s="6">
        <v>13697.35652198032</v>
      </c>
      <c r="N261" s="4" t="s">
        <v>79</v>
      </c>
      <c r="O261" s="4" t="s">
        <v>66</v>
      </c>
    </row>
    <row r="262" spans="1:15" x14ac:dyDescent="0.25">
      <c r="A262" s="4" t="s">
        <v>359</v>
      </c>
      <c r="B262" s="5">
        <v>45885</v>
      </c>
      <c r="C262" s="4" t="s">
        <v>61</v>
      </c>
      <c r="D262" s="4" t="s">
        <v>62</v>
      </c>
      <c r="E262" s="4" t="s">
        <v>105</v>
      </c>
      <c r="F262" s="4" t="s">
        <v>85</v>
      </c>
      <c r="G262" s="4" t="s">
        <v>86</v>
      </c>
      <c r="H262" s="4">
        <v>11</v>
      </c>
      <c r="I262" s="6">
        <v>1200</v>
      </c>
      <c r="J262" s="7">
        <v>0.1</v>
      </c>
      <c r="K262" s="6">
        <v>11880</v>
      </c>
      <c r="L262" s="6">
        <v>8521.8540014922055</v>
      </c>
      <c r="M262" s="6">
        <v>3358.145998507795</v>
      </c>
      <c r="N262" s="4" t="s">
        <v>65</v>
      </c>
      <c r="O262" s="4" t="s">
        <v>74</v>
      </c>
    </row>
    <row r="263" spans="1:15" x14ac:dyDescent="0.25">
      <c r="A263" s="4" t="s">
        <v>360</v>
      </c>
      <c r="B263" s="5">
        <v>45744</v>
      </c>
      <c r="C263" s="4" t="s">
        <v>49</v>
      </c>
      <c r="D263" s="4" t="s">
        <v>50</v>
      </c>
      <c r="E263" s="4" t="s">
        <v>105</v>
      </c>
      <c r="F263" s="4" t="s">
        <v>52</v>
      </c>
      <c r="G263" s="4" t="s">
        <v>64</v>
      </c>
      <c r="H263" s="4">
        <v>5</v>
      </c>
      <c r="I263" s="6">
        <v>120</v>
      </c>
      <c r="J263" s="7">
        <v>0</v>
      </c>
      <c r="K263" s="6">
        <v>600</v>
      </c>
      <c r="L263" s="6">
        <v>404.18998931226508</v>
      </c>
      <c r="M263" s="6">
        <v>195.81001068773489</v>
      </c>
      <c r="N263" s="4" t="s">
        <v>54</v>
      </c>
      <c r="O263" s="4" t="s">
        <v>55</v>
      </c>
    </row>
    <row r="264" spans="1:15" x14ac:dyDescent="0.25">
      <c r="A264" s="4" t="s">
        <v>361</v>
      </c>
      <c r="B264" s="5">
        <v>45845</v>
      </c>
      <c r="C264" s="4" t="s">
        <v>49</v>
      </c>
      <c r="D264" s="4" t="s">
        <v>76</v>
      </c>
      <c r="E264" s="4" t="s">
        <v>84</v>
      </c>
      <c r="F264" s="4" t="s">
        <v>58</v>
      </c>
      <c r="G264" s="4" t="s">
        <v>73</v>
      </c>
      <c r="H264" s="4">
        <v>13</v>
      </c>
      <c r="I264" s="6">
        <v>1800</v>
      </c>
      <c r="J264" s="7">
        <v>0.15</v>
      </c>
      <c r="K264" s="6">
        <v>19890</v>
      </c>
      <c r="L264" s="6">
        <v>17300.908072642909</v>
      </c>
      <c r="M264" s="6">
        <v>2589.0919273570939</v>
      </c>
      <c r="N264" s="4" t="s">
        <v>54</v>
      </c>
      <c r="O264" s="4" t="s">
        <v>55</v>
      </c>
    </row>
    <row r="265" spans="1:15" x14ac:dyDescent="0.25">
      <c r="A265" s="4" t="s">
        <v>362</v>
      </c>
      <c r="B265" s="5">
        <v>45836</v>
      </c>
      <c r="C265" s="4" t="s">
        <v>61</v>
      </c>
      <c r="D265" s="4" t="s">
        <v>62</v>
      </c>
      <c r="E265" s="4" t="s">
        <v>51</v>
      </c>
      <c r="F265" s="4" t="s">
        <v>58</v>
      </c>
      <c r="G265" s="4" t="s">
        <v>59</v>
      </c>
      <c r="H265" s="4">
        <v>5</v>
      </c>
      <c r="I265" s="6">
        <v>12000</v>
      </c>
      <c r="J265" s="7">
        <v>0</v>
      </c>
      <c r="K265" s="6">
        <v>60000</v>
      </c>
      <c r="L265" s="6">
        <v>39206.306331059714</v>
      </c>
      <c r="M265" s="6">
        <v>20793.69366894029</v>
      </c>
      <c r="N265" s="4" t="s">
        <v>79</v>
      </c>
      <c r="O265" s="4" t="s">
        <v>74</v>
      </c>
    </row>
    <row r="266" spans="1:15" x14ac:dyDescent="0.25">
      <c r="A266" s="4" t="s">
        <v>363</v>
      </c>
      <c r="B266" s="5">
        <v>45763</v>
      </c>
      <c r="C266" s="4" t="s">
        <v>61</v>
      </c>
      <c r="D266" s="4" t="s">
        <v>83</v>
      </c>
      <c r="E266" s="4" t="s">
        <v>57</v>
      </c>
      <c r="F266" s="4" t="s">
        <v>52</v>
      </c>
      <c r="G266" s="4" t="s">
        <v>110</v>
      </c>
      <c r="H266" s="4">
        <v>3</v>
      </c>
      <c r="I266" s="6">
        <v>180</v>
      </c>
      <c r="J266" s="7">
        <v>0.15</v>
      </c>
      <c r="K266" s="6">
        <v>459</v>
      </c>
      <c r="L266" s="6">
        <v>314.29298276810562</v>
      </c>
      <c r="M266" s="6">
        <v>144.70701723189441</v>
      </c>
      <c r="N266" s="4" t="s">
        <v>65</v>
      </c>
      <c r="O266" s="4" t="s">
        <v>80</v>
      </c>
    </row>
    <row r="267" spans="1:15" x14ac:dyDescent="0.25">
      <c r="A267" s="4" t="s">
        <v>364</v>
      </c>
      <c r="B267" s="5">
        <v>45794</v>
      </c>
      <c r="C267" s="4" t="s">
        <v>68</v>
      </c>
      <c r="D267" s="4" t="s">
        <v>108</v>
      </c>
      <c r="E267" s="4" t="s">
        <v>51</v>
      </c>
      <c r="F267" s="4" t="s">
        <v>77</v>
      </c>
      <c r="G267" s="4" t="s">
        <v>78</v>
      </c>
      <c r="H267" s="4">
        <v>12</v>
      </c>
      <c r="I267" s="6">
        <v>6500</v>
      </c>
      <c r="J267" s="7">
        <v>0.05</v>
      </c>
      <c r="K267" s="6">
        <v>74100</v>
      </c>
      <c r="L267" s="6">
        <v>48090.638387761093</v>
      </c>
      <c r="M267" s="6">
        <v>26009.36161223891</v>
      </c>
      <c r="N267" s="4" t="s">
        <v>65</v>
      </c>
      <c r="O267" s="4" t="s">
        <v>55</v>
      </c>
    </row>
    <row r="268" spans="1:15" x14ac:dyDescent="0.25">
      <c r="A268" s="4" t="s">
        <v>365</v>
      </c>
      <c r="B268" s="5">
        <v>45784</v>
      </c>
      <c r="C268" s="4" t="s">
        <v>49</v>
      </c>
      <c r="D268" s="4" t="s">
        <v>72</v>
      </c>
      <c r="E268" s="4" t="s">
        <v>123</v>
      </c>
      <c r="F268" s="4" t="s">
        <v>77</v>
      </c>
      <c r="G268" s="4" t="s">
        <v>95</v>
      </c>
      <c r="H268" s="4">
        <v>4</v>
      </c>
      <c r="I268" s="6">
        <v>11000</v>
      </c>
      <c r="J268" s="7">
        <v>0</v>
      </c>
      <c r="K268" s="6">
        <v>44000</v>
      </c>
      <c r="L268" s="6">
        <v>31399.315870252391</v>
      </c>
      <c r="M268" s="6">
        <v>12600.684129747609</v>
      </c>
      <c r="N268" s="4" t="s">
        <v>79</v>
      </c>
      <c r="O268" s="4" t="s">
        <v>66</v>
      </c>
    </row>
    <row r="269" spans="1:15" x14ac:dyDescent="0.25">
      <c r="A269" s="4" t="s">
        <v>366</v>
      </c>
      <c r="B269" s="5">
        <v>45705</v>
      </c>
      <c r="C269" s="4" t="s">
        <v>68</v>
      </c>
      <c r="D269" s="4" t="s">
        <v>108</v>
      </c>
      <c r="E269" s="4" t="s">
        <v>123</v>
      </c>
      <c r="F269" s="4" t="s">
        <v>85</v>
      </c>
      <c r="G269" s="4" t="s">
        <v>86</v>
      </c>
      <c r="H269" s="4">
        <v>8</v>
      </c>
      <c r="I269" s="6">
        <v>1200</v>
      </c>
      <c r="J269" s="7">
        <v>0</v>
      </c>
      <c r="K269" s="6">
        <v>9600</v>
      </c>
      <c r="L269" s="6">
        <v>6679.0501014774572</v>
      </c>
      <c r="M269" s="6">
        <v>2920.9498985225432</v>
      </c>
      <c r="N269" s="4" t="s">
        <v>54</v>
      </c>
      <c r="O269" s="4" t="s">
        <v>80</v>
      </c>
    </row>
    <row r="270" spans="1:15" x14ac:dyDescent="0.25">
      <c r="A270" s="4" t="s">
        <v>367</v>
      </c>
      <c r="B270" s="5">
        <v>45705</v>
      </c>
      <c r="C270" s="4" t="s">
        <v>68</v>
      </c>
      <c r="D270" s="4" t="s">
        <v>88</v>
      </c>
      <c r="E270" s="4" t="s">
        <v>105</v>
      </c>
      <c r="F270" s="4" t="s">
        <v>85</v>
      </c>
      <c r="G270" s="4" t="s">
        <v>116</v>
      </c>
      <c r="H270" s="4">
        <v>10</v>
      </c>
      <c r="I270" s="6">
        <v>3000</v>
      </c>
      <c r="J270" s="7">
        <v>0</v>
      </c>
      <c r="K270" s="6">
        <v>30000</v>
      </c>
      <c r="L270" s="6">
        <v>22495.463563811281</v>
      </c>
      <c r="M270" s="6">
        <v>7504.536436188715</v>
      </c>
      <c r="N270" s="4" t="s">
        <v>54</v>
      </c>
      <c r="O270" s="4" t="s">
        <v>80</v>
      </c>
    </row>
    <row r="271" spans="1:15" x14ac:dyDescent="0.25">
      <c r="A271" s="4" t="s">
        <v>368</v>
      </c>
      <c r="B271" s="5">
        <v>45823</v>
      </c>
      <c r="C271" s="4" t="s">
        <v>49</v>
      </c>
      <c r="D271" s="4" t="s">
        <v>76</v>
      </c>
      <c r="E271" s="4" t="s">
        <v>63</v>
      </c>
      <c r="F271" s="4" t="s">
        <v>85</v>
      </c>
      <c r="G271" s="4" t="s">
        <v>92</v>
      </c>
      <c r="H271" s="4">
        <v>7</v>
      </c>
      <c r="I271" s="6">
        <v>2200</v>
      </c>
      <c r="J271" s="7">
        <v>0</v>
      </c>
      <c r="K271" s="6">
        <v>15400</v>
      </c>
      <c r="L271" s="6">
        <v>10222.280344241541</v>
      </c>
      <c r="M271" s="6">
        <v>5177.7196557584593</v>
      </c>
      <c r="N271" s="4" t="s">
        <v>79</v>
      </c>
      <c r="O271" s="4" t="s">
        <v>66</v>
      </c>
    </row>
    <row r="272" spans="1:15" x14ac:dyDescent="0.25">
      <c r="A272" s="4" t="s">
        <v>369</v>
      </c>
      <c r="B272" s="5">
        <v>45738</v>
      </c>
      <c r="C272" s="4" t="s">
        <v>90</v>
      </c>
      <c r="D272" s="4" t="s">
        <v>94</v>
      </c>
      <c r="E272" s="4" t="s">
        <v>105</v>
      </c>
      <c r="F272" s="4" t="s">
        <v>58</v>
      </c>
      <c r="G272" s="4" t="s">
        <v>103</v>
      </c>
      <c r="H272" s="4">
        <v>2</v>
      </c>
      <c r="I272" s="6">
        <v>55000</v>
      </c>
      <c r="J272" s="7">
        <v>0.1</v>
      </c>
      <c r="K272" s="6">
        <v>99000</v>
      </c>
      <c r="L272" s="6">
        <v>60911.91821503044</v>
      </c>
      <c r="M272" s="6">
        <v>38088.08178496956</v>
      </c>
      <c r="N272" s="4" t="s">
        <v>79</v>
      </c>
      <c r="O272" s="4" t="s">
        <v>74</v>
      </c>
    </row>
    <row r="273" spans="1:15" x14ac:dyDescent="0.25">
      <c r="A273" s="4" t="s">
        <v>370</v>
      </c>
      <c r="B273" s="5">
        <v>45842</v>
      </c>
      <c r="C273" s="4" t="s">
        <v>90</v>
      </c>
      <c r="D273" s="4" t="s">
        <v>114</v>
      </c>
      <c r="E273" s="4" t="s">
        <v>63</v>
      </c>
      <c r="F273" s="4" t="s">
        <v>77</v>
      </c>
      <c r="G273" s="4" t="s">
        <v>78</v>
      </c>
      <c r="H273" s="4">
        <v>3</v>
      </c>
      <c r="I273" s="6">
        <v>6500</v>
      </c>
      <c r="J273" s="7">
        <v>0.05</v>
      </c>
      <c r="K273" s="6">
        <v>18525</v>
      </c>
      <c r="L273" s="6">
        <v>11143.62983059754</v>
      </c>
      <c r="M273" s="6">
        <v>7381.3701694024567</v>
      </c>
      <c r="N273" s="4" t="s">
        <v>65</v>
      </c>
      <c r="O273" s="4" t="s">
        <v>80</v>
      </c>
    </row>
    <row r="274" spans="1:15" x14ac:dyDescent="0.25">
      <c r="A274" s="4" t="s">
        <v>371</v>
      </c>
      <c r="B274" s="5">
        <v>45704</v>
      </c>
      <c r="C274" s="4" t="s">
        <v>61</v>
      </c>
      <c r="D274" s="4" t="s">
        <v>83</v>
      </c>
      <c r="E274" s="4" t="s">
        <v>51</v>
      </c>
      <c r="F274" s="4" t="s">
        <v>85</v>
      </c>
      <c r="G274" s="4" t="s">
        <v>116</v>
      </c>
      <c r="H274" s="4">
        <v>12</v>
      </c>
      <c r="I274" s="6">
        <v>3000</v>
      </c>
      <c r="J274" s="7">
        <v>0</v>
      </c>
      <c r="K274" s="6">
        <v>36000</v>
      </c>
      <c r="L274" s="6">
        <v>23354.032189454269</v>
      </c>
      <c r="M274" s="6">
        <v>12645.96781054573</v>
      </c>
      <c r="N274" s="4" t="s">
        <v>65</v>
      </c>
      <c r="O274" s="4" t="s">
        <v>66</v>
      </c>
    </row>
    <row r="275" spans="1:15" x14ac:dyDescent="0.25">
      <c r="A275" s="4" t="s">
        <v>372</v>
      </c>
      <c r="B275" s="5">
        <v>46014</v>
      </c>
      <c r="C275" s="4" t="s">
        <v>90</v>
      </c>
      <c r="D275" s="4" t="s">
        <v>114</v>
      </c>
      <c r="E275" s="4" t="s">
        <v>101</v>
      </c>
      <c r="F275" s="4" t="s">
        <v>77</v>
      </c>
      <c r="G275" s="4" t="s">
        <v>95</v>
      </c>
      <c r="H275" s="4">
        <v>9</v>
      </c>
      <c r="I275" s="6">
        <v>11000</v>
      </c>
      <c r="J275" s="7">
        <v>0.1</v>
      </c>
      <c r="K275" s="6">
        <v>89100</v>
      </c>
      <c r="L275" s="6">
        <v>54661.463797044627</v>
      </c>
      <c r="M275" s="6">
        <v>34438.536202955373</v>
      </c>
      <c r="N275" s="4" t="s">
        <v>65</v>
      </c>
      <c r="O275" s="4" t="s">
        <v>55</v>
      </c>
    </row>
    <row r="276" spans="1:15" x14ac:dyDescent="0.25">
      <c r="A276" s="4" t="s">
        <v>373</v>
      </c>
      <c r="B276" s="5">
        <v>45710</v>
      </c>
      <c r="C276" s="4" t="s">
        <v>61</v>
      </c>
      <c r="D276" s="4" t="s">
        <v>62</v>
      </c>
      <c r="E276" s="4" t="s">
        <v>51</v>
      </c>
      <c r="F276" s="4" t="s">
        <v>58</v>
      </c>
      <c r="G276" s="4" t="s">
        <v>59</v>
      </c>
      <c r="H276" s="4">
        <v>7</v>
      </c>
      <c r="I276" s="6">
        <v>12000</v>
      </c>
      <c r="J276" s="7">
        <v>0</v>
      </c>
      <c r="K276" s="6">
        <v>84000</v>
      </c>
      <c r="L276" s="6">
        <v>60318.348535679928</v>
      </c>
      <c r="M276" s="6">
        <v>23681.651464320072</v>
      </c>
      <c r="N276" s="4" t="s">
        <v>79</v>
      </c>
      <c r="O276" s="4" t="s">
        <v>80</v>
      </c>
    </row>
    <row r="277" spans="1:15" x14ac:dyDescent="0.25">
      <c r="A277" s="4" t="s">
        <v>374</v>
      </c>
      <c r="B277" s="5">
        <v>45946</v>
      </c>
      <c r="C277" s="4" t="s">
        <v>68</v>
      </c>
      <c r="D277" s="4" t="s">
        <v>69</v>
      </c>
      <c r="E277" s="4" t="s">
        <v>84</v>
      </c>
      <c r="F277" s="4" t="s">
        <v>85</v>
      </c>
      <c r="G277" s="4" t="s">
        <v>92</v>
      </c>
      <c r="H277" s="4">
        <v>11</v>
      </c>
      <c r="I277" s="6">
        <v>2200</v>
      </c>
      <c r="J277" s="7">
        <v>0</v>
      </c>
      <c r="K277" s="6">
        <v>24200</v>
      </c>
      <c r="L277" s="6">
        <v>13690.779007470681</v>
      </c>
      <c r="M277" s="6">
        <v>10509.220992529319</v>
      </c>
      <c r="N277" s="4" t="s">
        <v>54</v>
      </c>
      <c r="O277" s="4" t="s">
        <v>66</v>
      </c>
    </row>
    <row r="278" spans="1:15" x14ac:dyDescent="0.25">
      <c r="A278" s="4" t="s">
        <v>375</v>
      </c>
      <c r="B278" s="5">
        <v>45884</v>
      </c>
      <c r="C278" s="4" t="s">
        <v>90</v>
      </c>
      <c r="D278" s="4" t="s">
        <v>94</v>
      </c>
      <c r="E278" s="4" t="s">
        <v>57</v>
      </c>
      <c r="F278" s="4" t="s">
        <v>77</v>
      </c>
      <c r="G278" s="4" t="s">
        <v>95</v>
      </c>
      <c r="H278" s="4">
        <v>15</v>
      </c>
      <c r="I278" s="6">
        <v>11000</v>
      </c>
      <c r="J278" s="7">
        <v>0.1</v>
      </c>
      <c r="K278" s="6">
        <v>148500</v>
      </c>
      <c r="L278" s="6">
        <v>114130.0846781968</v>
      </c>
      <c r="M278" s="6">
        <v>34369.915321803201</v>
      </c>
      <c r="N278" s="4" t="s">
        <v>65</v>
      </c>
      <c r="O278" s="4" t="s">
        <v>74</v>
      </c>
    </row>
    <row r="279" spans="1:15" x14ac:dyDescent="0.25">
      <c r="A279" s="4" t="s">
        <v>376</v>
      </c>
      <c r="B279" s="5">
        <v>45784</v>
      </c>
      <c r="C279" s="4" t="s">
        <v>61</v>
      </c>
      <c r="D279" s="4" t="s">
        <v>83</v>
      </c>
      <c r="E279" s="4" t="s">
        <v>63</v>
      </c>
      <c r="F279" s="4" t="s">
        <v>85</v>
      </c>
      <c r="G279" s="4" t="s">
        <v>116</v>
      </c>
      <c r="H279" s="4">
        <v>7</v>
      </c>
      <c r="I279" s="6">
        <v>3000</v>
      </c>
      <c r="J279" s="7">
        <v>0.05</v>
      </c>
      <c r="K279" s="6">
        <v>19950</v>
      </c>
      <c r="L279" s="6">
        <v>15370.90027358666</v>
      </c>
      <c r="M279" s="6">
        <v>4579.0997264133402</v>
      </c>
      <c r="N279" s="4" t="s">
        <v>54</v>
      </c>
      <c r="O279" s="4" t="s">
        <v>74</v>
      </c>
    </row>
    <row r="280" spans="1:15" x14ac:dyDescent="0.25">
      <c r="A280" s="4" t="s">
        <v>377</v>
      </c>
      <c r="B280" s="5">
        <v>45968</v>
      </c>
      <c r="C280" s="4" t="s">
        <v>61</v>
      </c>
      <c r="D280" s="4" t="s">
        <v>100</v>
      </c>
      <c r="E280" s="4" t="s">
        <v>57</v>
      </c>
      <c r="F280" s="4" t="s">
        <v>52</v>
      </c>
      <c r="G280" s="4" t="s">
        <v>64</v>
      </c>
      <c r="H280" s="4">
        <v>14</v>
      </c>
      <c r="I280" s="6">
        <v>120</v>
      </c>
      <c r="J280" s="7">
        <v>0.05</v>
      </c>
      <c r="K280" s="6">
        <v>1596</v>
      </c>
      <c r="L280" s="6">
        <v>1003.384225494104</v>
      </c>
      <c r="M280" s="6">
        <v>592.6157745058963</v>
      </c>
      <c r="N280" s="4" t="s">
        <v>54</v>
      </c>
      <c r="O280" s="4" t="s">
        <v>55</v>
      </c>
    </row>
    <row r="281" spans="1:15" x14ac:dyDescent="0.25">
      <c r="A281" s="4" t="s">
        <v>378</v>
      </c>
      <c r="B281" s="5">
        <v>45913</v>
      </c>
      <c r="C281" s="4" t="s">
        <v>68</v>
      </c>
      <c r="D281" s="4" t="s">
        <v>108</v>
      </c>
      <c r="E281" s="4" t="s">
        <v>51</v>
      </c>
      <c r="F281" s="4" t="s">
        <v>58</v>
      </c>
      <c r="G281" s="4" t="s">
        <v>59</v>
      </c>
      <c r="H281" s="4">
        <v>8</v>
      </c>
      <c r="I281" s="6">
        <v>12000</v>
      </c>
      <c r="J281" s="7">
        <v>0.1</v>
      </c>
      <c r="K281" s="6">
        <v>86400</v>
      </c>
      <c r="L281" s="6">
        <v>55289.3800702921</v>
      </c>
      <c r="M281" s="6">
        <v>31110.6199297079</v>
      </c>
      <c r="N281" s="4" t="s">
        <v>54</v>
      </c>
      <c r="O281" s="4" t="s">
        <v>74</v>
      </c>
    </row>
    <row r="282" spans="1:15" x14ac:dyDescent="0.25">
      <c r="A282" s="4" t="s">
        <v>379</v>
      </c>
      <c r="B282" s="5">
        <v>45937</v>
      </c>
      <c r="C282" s="4" t="s">
        <v>68</v>
      </c>
      <c r="D282" s="4" t="s">
        <v>88</v>
      </c>
      <c r="E282" s="4" t="s">
        <v>131</v>
      </c>
      <c r="F282" s="4" t="s">
        <v>77</v>
      </c>
      <c r="G282" s="4" t="s">
        <v>119</v>
      </c>
      <c r="H282" s="4">
        <v>14</v>
      </c>
      <c r="I282" s="6">
        <v>8000</v>
      </c>
      <c r="J282" s="7">
        <v>0.15</v>
      </c>
      <c r="K282" s="6">
        <v>95200</v>
      </c>
      <c r="L282" s="6">
        <v>72441.444642342816</v>
      </c>
      <c r="M282" s="6">
        <v>22758.55535765718</v>
      </c>
      <c r="N282" s="4" t="s">
        <v>79</v>
      </c>
      <c r="O282" s="4" t="s">
        <v>74</v>
      </c>
    </row>
    <row r="283" spans="1:15" x14ac:dyDescent="0.25">
      <c r="A283" s="4" t="s">
        <v>380</v>
      </c>
      <c r="B283" s="5">
        <v>45688</v>
      </c>
      <c r="C283" s="4" t="s">
        <v>49</v>
      </c>
      <c r="D283" s="4" t="s">
        <v>76</v>
      </c>
      <c r="E283" s="4" t="s">
        <v>123</v>
      </c>
      <c r="F283" s="4" t="s">
        <v>58</v>
      </c>
      <c r="G283" s="4" t="s">
        <v>103</v>
      </c>
      <c r="H283" s="4">
        <v>5</v>
      </c>
      <c r="I283" s="6">
        <v>55000</v>
      </c>
      <c r="J283" s="7">
        <v>0</v>
      </c>
      <c r="K283" s="6">
        <v>275000</v>
      </c>
      <c r="L283" s="6">
        <v>153769.04901752729</v>
      </c>
      <c r="M283" s="6">
        <v>121230.9509824727</v>
      </c>
      <c r="N283" s="4" t="s">
        <v>54</v>
      </c>
      <c r="O283" s="4" t="s">
        <v>80</v>
      </c>
    </row>
    <row r="284" spans="1:15" x14ac:dyDescent="0.25">
      <c r="A284" s="4" t="s">
        <v>381</v>
      </c>
      <c r="B284" s="5">
        <v>45736</v>
      </c>
      <c r="C284" s="4" t="s">
        <v>90</v>
      </c>
      <c r="D284" s="4" t="s">
        <v>94</v>
      </c>
      <c r="E284" s="4" t="s">
        <v>63</v>
      </c>
      <c r="F284" s="4" t="s">
        <v>85</v>
      </c>
      <c r="G284" s="4" t="s">
        <v>106</v>
      </c>
      <c r="H284" s="4">
        <v>11</v>
      </c>
      <c r="I284" s="6">
        <v>900</v>
      </c>
      <c r="J284" s="7">
        <v>0.15</v>
      </c>
      <c r="K284" s="6">
        <v>8415</v>
      </c>
      <c r="L284" s="6">
        <v>6669.2412504757885</v>
      </c>
      <c r="M284" s="6">
        <v>1745.758749524211</v>
      </c>
      <c r="N284" s="4" t="s">
        <v>65</v>
      </c>
      <c r="O284" s="4" t="s">
        <v>80</v>
      </c>
    </row>
    <row r="285" spans="1:15" x14ac:dyDescent="0.25">
      <c r="A285" s="4" t="s">
        <v>382</v>
      </c>
      <c r="B285" s="5">
        <v>45982</v>
      </c>
      <c r="C285" s="4" t="s">
        <v>49</v>
      </c>
      <c r="D285" s="4" t="s">
        <v>76</v>
      </c>
      <c r="E285" s="4" t="s">
        <v>51</v>
      </c>
      <c r="F285" s="4" t="s">
        <v>77</v>
      </c>
      <c r="G285" s="4" t="s">
        <v>95</v>
      </c>
      <c r="H285" s="4">
        <v>9</v>
      </c>
      <c r="I285" s="6">
        <v>11000</v>
      </c>
      <c r="J285" s="7">
        <v>0.05</v>
      </c>
      <c r="K285" s="6">
        <v>94050</v>
      </c>
      <c r="L285" s="6">
        <v>63346.956322589329</v>
      </c>
      <c r="M285" s="6">
        <v>30703.043677410671</v>
      </c>
      <c r="N285" s="4" t="s">
        <v>79</v>
      </c>
      <c r="O285" s="4" t="s">
        <v>55</v>
      </c>
    </row>
    <row r="286" spans="1:15" x14ac:dyDescent="0.25">
      <c r="A286" s="4" t="s">
        <v>383</v>
      </c>
      <c r="B286" s="5">
        <v>45971</v>
      </c>
      <c r="C286" s="4" t="s">
        <v>61</v>
      </c>
      <c r="D286" s="4" t="s">
        <v>83</v>
      </c>
      <c r="E286" s="4" t="s">
        <v>84</v>
      </c>
      <c r="F286" s="4" t="s">
        <v>77</v>
      </c>
      <c r="G286" s="4" t="s">
        <v>158</v>
      </c>
      <c r="H286" s="4">
        <v>15</v>
      </c>
      <c r="I286" s="6">
        <v>7000</v>
      </c>
      <c r="J286" s="7">
        <v>0.1</v>
      </c>
      <c r="K286" s="6">
        <v>94500</v>
      </c>
      <c r="L286" s="6">
        <v>60551.075944296492</v>
      </c>
      <c r="M286" s="6">
        <v>33948.924055703508</v>
      </c>
      <c r="N286" s="4" t="s">
        <v>79</v>
      </c>
      <c r="O286" s="4" t="s">
        <v>66</v>
      </c>
    </row>
    <row r="287" spans="1:15" x14ac:dyDescent="0.25">
      <c r="A287" s="4" t="s">
        <v>384</v>
      </c>
      <c r="B287" s="5">
        <v>45925</v>
      </c>
      <c r="C287" s="4" t="s">
        <v>49</v>
      </c>
      <c r="D287" s="4" t="s">
        <v>50</v>
      </c>
      <c r="E287" s="4" t="s">
        <v>63</v>
      </c>
      <c r="F287" s="4" t="s">
        <v>77</v>
      </c>
      <c r="G287" s="4" t="s">
        <v>158</v>
      </c>
      <c r="H287" s="4">
        <v>3</v>
      </c>
      <c r="I287" s="6">
        <v>7000</v>
      </c>
      <c r="J287" s="7">
        <v>0.1</v>
      </c>
      <c r="K287" s="6">
        <v>18900</v>
      </c>
      <c r="L287" s="6">
        <v>16153.068254475191</v>
      </c>
      <c r="M287" s="6">
        <v>2746.931745524811</v>
      </c>
      <c r="N287" s="4" t="s">
        <v>65</v>
      </c>
      <c r="O287" s="4" t="s">
        <v>80</v>
      </c>
    </row>
    <row r="288" spans="1:15" x14ac:dyDescent="0.25">
      <c r="A288" s="4" t="s">
        <v>385</v>
      </c>
      <c r="B288" s="5">
        <v>45877</v>
      </c>
      <c r="C288" s="4" t="s">
        <v>61</v>
      </c>
      <c r="D288" s="4" t="s">
        <v>100</v>
      </c>
      <c r="E288" s="4" t="s">
        <v>63</v>
      </c>
      <c r="F288" s="4" t="s">
        <v>52</v>
      </c>
      <c r="G288" s="4" t="s">
        <v>64</v>
      </c>
      <c r="H288" s="4">
        <v>13</v>
      </c>
      <c r="I288" s="6">
        <v>120</v>
      </c>
      <c r="J288" s="7">
        <v>0</v>
      </c>
      <c r="K288" s="6">
        <v>1560</v>
      </c>
      <c r="L288" s="6">
        <v>978.20195624225073</v>
      </c>
      <c r="M288" s="6">
        <v>581.79804375774927</v>
      </c>
      <c r="N288" s="4" t="s">
        <v>54</v>
      </c>
      <c r="O288" s="4" t="s">
        <v>74</v>
      </c>
    </row>
    <row r="289" spans="1:15" x14ac:dyDescent="0.25">
      <c r="A289" s="4" t="s">
        <v>386</v>
      </c>
      <c r="B289" s="5">
        <v>45913</v>
      </c>
      <c r="C289" s="4" t="s">
        <v>68</v>
      </c>
      <c r="D289" s="4" t="s">
        <v>108</v>
      </c>
      <c r="E289" s="4" t="s">
        <v>131</v>
      </c>
      <c r="F289" s="4" t="s">
        <v>58</v>
      </c>
      <c r="G289" s="4" t="s">
        <v>70</v>
      </c>
      <c r="H289" s="4">
        <v>8</v>
      </c>
      <c r="I289" s="6">
        <v>9000</v>
      </c>
      <c r="J289" s="7">
        <v>0.15</v>
      </c>
      <c r="K289" s="6">
        <v>61200</v>
      </c>
      <c r="L289" s="6">
        <v>45563.651709840233</v>
      </c>
      <c r="M289" s="6">
        <v>15636.348290159771</v>
      </c>
      <c r="N289" s="4" t="s">
        <v>79</v>
      </c>
      <c r="O289" s="4" t="s">
        <v>66</v>
      </c>
    </row>
    <row r="290" spans="1:15" x14ac:dyDescent="0.25">
      <c r="A290" s="4" t="s">
        <v>387</v>
      </c>
      <c r="B290" s="5">
        <v>45664</v>
      </c>
      <c r="C290" s="4" t="s">
        <v>68</v>
      </c>
      <c r="D290" s="4" t="s">
        <v>69</v>
      </c>
      <c r="E290" s="4" t="s">
        <v>57</v>
      </c>
      <c r="F290" s="4" t="s">
        <v>58</v>
      </c>
      <c r="G290" s="4" t="s">
        <v>59</v>
      </c>
      <c r="H290" s="4">
        <v>12</v>
      </c>
      <c r="I290" s="6">
        <v>12000</v>
      </c>
      <c r="J290" s="7">
        <v>0.15</v>
      </c>
      <c r="K290" s="6">
        <v>122400</v>
      </c>
      <c r="L290" s="6">
        <v>79285.068919796773</v>
      </c>
      <c r="M290" s="6">
        <v>43114.931080203227</v>
      </c>
      <c r="N290" s="4" t="s">
        <v>65</v>
      </c>
      <c r="O290" s="4" t="s">
        <v>55</v>
      </c>
    </row>
    <row r="291" spans="1:15" x14ac:dyDescent="0.25">
      <c r="A291" s="4" t="s">
        <v>388</v>
      </c>
      <c r="B291" s="5">
        <v>45993</v>
      </c>
      <c r="C291" s="4" t="s">
        <v>68</v>
      </c>
      <c r="D291" s="4" t="s">
        <v>88</v>
      </c>
      <c r="E291" s="4" t="s">
        <v>123</v>
      </c>
      <c r="F291" s="4" t="s">
        <v>77</v>
      </c>
      <c r="G291" s="4" t="s">
        <v>95</v>
      </c>
      <c r="H291" s="4">
        <v>15</v>
      </c>
      <c r="I291" s="6">
        <v>11000</v>
      </c>
      <c r="J291" s="7">
        <v>0</v>
      </c>
      <c r="K291" s="6">
        <v>165000</v>
      </c>
      <c r="L291" s="6">
        <v>111731.2187234181</v>
      </c>
      <c r="M291" s="6">
        <v>53268.78127658194</v>
      </c>
      <c r="N291" s="4" t="s">
        <v>65</v>
      </c>
      <c r="O291" s="4" t="s">
        <v>80</v>
      </c>
    </row>
    <row r="292" spans="1:15" x14ac:dyDescent="0.25">
      <c r="A292" s="4" t="s">
        <v>389</v>
      </c>
      <c r="B292" s="5">
        <v>45719</v>
      </c>
      <c r="C292" s="4" t="s">
        <v>61</v>
      </c>
      <c r="D292" s="4" t="s">
        <v>62</v>
      </c>
      <c r="E292" s="4" t="s">
        <v>84</v>
      </c>
      <c r="F292" s="4" t="s">
        <v>52</v>
      </c>
      <c r="G292" s="4" t="s">
        <v>98</v>
      </c>
      <c r="H292" s="4">
        <v>14</v>
      </c>
      <c r="I292" s="6">
        <v>80</v>
      </c>
      <c r="J292" s="7">
        <v>0</v>
      </c>
      <c r="K292" s="6">
        <v>1120</v>
      </c>
      <c r="L292" s="6">
        <v>763.22766397025725</v>
      </c>
      <c r="M292" s="6">
        <v>356.77233602974269</v>
      </c>
      <c r="N292" s="4" t="s">
        <v>65</v>
      </c>
      <c r="O292" s="4" t="s">
        <v>66</v>
      </c>
    </row>
    <row r="293" spans="1:15" x14ac:dyDescent="0.25">
      <c r="A293" s="4" t="s">
        <v>390</v>
      </c>
      <c r="B293" s="5">
        <v>45817</v>
      </c>
      <c r="C293" s="4" t="s">
        <v>49</v>
      </c>
      <c r="D293" s="4" t="s">
        <v>72</v>
      </c>
      <c r="E293" s="4" t="s">
        <v>101</v>
      </c>
      <c r="F293" s="4" t="s">
        <v>58</v>
      </c>
      <c r="G293" s="4" t="s">
        <v>70</v>
      </c>
      <c r="H293" s="4">
        <v>14</v>
      </c>
      <c r="I293" s="6">
        <v>9000</v>
      </c>
      <c r="J293" s="7">
        <v>0.05</v>
      </c>
      <c r="K293" s="6">
        <v>119700</v>
      </c>
      <c r="L293" s="6">
        <v>91716.826356080564</v>
      </c>
      <c r="M293" s="6">
        <v>27983.173643919439</v>
      </c>
      <c r="N293" s="4" t="s">
        <v>65</v>
      </c>
      <c r="O293" s="4" t="s">
        <v>55</v>
      </c>
    </row>
    <row r="294" spans="1:15" x14ac:dyDescent="0.25">
      <c r="A294" s="4" t="s">
        <v>391</v>
      </c>
      <c r="B294" s="5">
        <v>45782</v>
      </c>
      <c r="C294" s="4" t="s">
        <v>49</v>
      </c>
      <c r="D294" s="4" t="s">
        <v>72</v>
      </c>
      <c r="E294" s="4" t="s">
        <v>105</v>
      </c>
      <c r="F294" s="4" t="s">
        <v>77</v>
      </c>
      <c r="G294" s="4" t="s">
        <v>78</v>
      </c>
      <c r="H294" s="4">
        <v>10</v>
      </c>
      <c r="I294" s="6">
        <v>6500</v>
      </c>
      <c r="J294" s="7">
        <v>0.05</v>
      </c>
      <c r="K294" s="6">
        <v>61750</v>
      </c>
      <c r="L294" s="6">
        <v>46806.661001664601</v>
      </c>
      <c r="M294" s="6">
        <v>14943.338998335401</v>
      </c>
      <c r="N294" s="4" t="s">
        <v>79</v>
      </c>
      <c r="O294" s="4" t="s">
        <v>55</v>
      </c>
    </row>
    <row r="295" spans="1:15" x14ac:dyDescent="0.25">
      <c r="A295" s="4" t="s">
        <v>392</v>
      </c>
      <c r="B295" s="5">
        <v>45935</v>
      </c>
      <c r="C295" s="4" t="s">
        <v>61</v>
      </c>
      <c r="D295" s="4" t="s">
        <v>100</v>
      </c>
      <c r="E295" s="4" t="s">
        <v>101</v>
      </c>
      <c r="F295" s="4" t="s">
        <v>77</v>
      </c>
      <c r="G295" s="4" t="s">
        <v>95</v>
      </c>
      <c r="H295" s="4">
        <v>1</v>
      </c>
      <c r="I295" s="6">
        <v>11000</v>
      </c>
      <c r="J295" s="7">
        <v>0.1</v>
      </c>
      <c r="K295" s="6">
        <v>9900</v>
      </c>
      <c r="L295" s="6">
        <v>6110.492947619292</v>
      </c>
      <c r="M295" s="6">
        <v>3789.507052380708</v>
      </c>
      <c r="N295" s="4" t="s">
        <v>54</v>
      </c>
      <c r="O295" s="4" t="s">
        <v>74</v>
      </c>
    </row>
    <row r="296" spans="1:15" x14ac:dyDescent="0.25">
      <c r="A296" s="4" t="s">
        <v>393</v>
      </c>
      <c r="B296" s="5">
        <v>45779</v>
      </c>
      <c r="C296" s="4" t="s">
        <v>68</v>
      </c>
      <c r="D296" s="4" t="s">
        <v>69</v>
      </c>
      <c r="E296" s="4" t="s">
        <v>123</v>
      </c>
      <c r="F296" s="4" t="s">
        <v>85</v>
      </c>
      <c r="G296" s="4" t="s">
        <v>116</v>
      </c>
      <c r="H296" s="4">
        <v>2</v>
      </c>
      <c r="I296" s="6">
        <v>3000</v>
      </c>
      <c r="J296" s="7">
        <v>0</v>
      </c>
      <c r="K296" s="6">
        <v>6000</v>
      </c>
      <c r="L296" s="6">
        <v>4031.1439949028172</v>
      </c>
      <c r="M296" s="6">
        <v>1968.856005097183</v>
      </c>
      <c r="N296" s="4" t="s">
        <v>79</v>
      </c>
      <c r="O296" s="4" t="s">
        <v>74</v>
      </c>
    </row>
    <row r="297" spans="1:15" x14ac:dyDescent="0.25">
      <c r="A297" s="4" t="s">
        <v>394</v>
      </c>
      <c r="B297" s="5">
        <v>45924</v>
      </c>
      <c r="C297" s="4" t="s">
        <v>61</v>
      </c>
      <c r="D297" s="4" t="s">
        <v>100</v>
      </c>
      <c r="E297" s="4" t="s">
        <v>123</v>
      </c>
      <c r="F297" s="4" t="s">
        <v>52</v>
      </c>
      <c r="G297" s="4" t="s">
        <v>64</v>
      </c>
      <c r="H297" s="4">
        <v>1</v>
      </c>
      <c r="I297" s="6">
        <v>120</v>
      </c>
      <c r="J297" s="7">
        <v>0</v>
      </c>
      <c r="K297" s="6">
        <v>120</v>
      </c>
      <c r="L297" s="6">
        <v>90.765134225308287</v>
      </c>
      <c r="M297" s="6">
        <v>29.234865774691709</v>
      </c>
      <c r="N297" s="4" t="s">
        <v>54</v>
      </c>
      <c r="O297" s="4" t="s">
        <v>80</v>
      </c>
    </row>
    <row r="298" spans="1:15" x14ac:dyDescent="0.25">
      <c r="A298" s="4" t="s">
        <v>395</v>
      </c>
      <c r="B298" s="5">
        <v>45859</v>
      </c>
      <c r="C298" s="4" t="s">
        <v>90</v>
      </c>
      <c r="D298" s="4" t="s">
        <v>91</v>
      </c>
      <c r="E298" s="4" t="s">
        <v>51</v>
      </c>
      <c r="F298" s="4" t="s">
        <v>58</v>
      </c>
      <c r="G298" s="4" t="s">
        <v>103</v>
      </c>
      <c r="H298" s="4">
        <v>9</v>
      </c>
      <c r="I298" s="6">
        <v>55000</v>
      </c>
      <c r="J298" s="7">
        <v>0</v>
      </c>
      <c r="K298" s="6">
        <v>495000</v>
      </c>
      <c r="L298" s="6">
        <v>344797.00517172198</v>
      </c>
      <c r="M298" s="6">
        <v>150202.994828278</v>
      </c>
      <c r="N298" s="4" t="s">
        <v>54</v>
      </c>
      <c r="O298" s="4" t="s">
        <v>74</v>
      </c>
    </row>
    <row r="299" spans="1:15" x14ac:dyDescent="0.25">
      <c r="A299" s="4" t="s">
        <v>396</v>
      </c>
      <c r="B299" s="5">
        <v>45859</v>
      </c>
      <c r="C299" s="4" t="s">
        <v>90</v>
      </c>
      <c r="D299" s="4" t="s">
        <v>91</v>
      </c>
      <c r="E299" s="4" t="s">
        <v>101</v>
      </c>
      <c r="F299" s="4" t="s">
        <v>77</v>
      </c>
      <c r="G299" s="4" t="s">
        <v>95</v>
      </c>
      <c r="H299" s="4">
        <v>5</v>
      </c>
      <c r="I299" s="6">
        <v>11000</v>
      </c>
      <c r="J299" s="7">
        <v>0.05</v>
      </c>
      <c r="K299" s="6">
        <v>52250</v>
      </c>
      <c r="L299" s="6">
        <v>41014.058378226036</v>
      </c>
      <c r="M299" s="6">
        <v>11235.94162177396</v>
      </c>
      <c r="N299" s="4" t="s">
        <v>79</v>
      </c>
      <c r="O299" s="4" t="s">
        <v>55</v>
      </c>
    </row>
    <row r="300" spans="1:15" x14ac:dyDescent="0.25">
      <c r="A300" s="4" t="s">
        <v>397</v>
      </c>
      <c r="B300" s="5">
        <v>45712</v>
      </c>
      <c r="C300" s="4" t="s">
        <v>68</v>
      </c>
      <c r="D300" s="4" t="s">
        <v>69</v>
      </c>
      <c r="E300" s="4" t="s">
        <v>131</v>
      </c>
      <c r="F300" s="4" t="s">
        <v>58</v>
      </c>
      <c r="G300" s="4" t="s">
        <v>59</v>
      </c>
      <c r="H300" s="4">
        <v>3</v>
      </c>
      <c r="I300" s="6">
        <v>12000</v>
      </c>
      <c r="J300" s="7">
        <v>0.15</v>
      </c>
      <c r="K300" s="6">
        <v>30600</v>
      </c>
      <c r="L300" s="6">
        <v>20702.295063188671</v>
      </c>
      <c r="M300" s="6">
        <v>9897.7049368113294</v>
      </c>
      <c r="N300" s="4" t="s">
        <v>79</v>
      </c>
      <c r="O300" s="4" t="s">
        <v>55</v>
      </c>
    </row>
    <row r="301" spans="1:15" x14ac:dyDescent="0.25">
      <c r="A301" s="4" t="s">
        <v>398</v>
      </c>
      <c r="B301" s="5">
        <v>45895</v>
      </c>
      <c r="C301" s="4" t="s">
        <v>68</v>
      </c>
      <c r="D301" s="4" t="s">
        <v>88</v>
      </c>
      <c r="E301" s="4" t="s">
        <v>63</v>
      </c>
      <c r="F301" s="4" t="s">
        <v>58</v>
      </c>
      <c r="G301" s="4" t="s">
        <v>73</v>
      </c>
      <c r="H301" s="4">
        <v>13</v>
      </c>
      <c r="I301" s="6">
        <v>1800</v>
      </c>
      <c r="J301" s="7">
        <v>0</v>
      </c>
      <c r="K301" s="6">
        <v>23400</v>
      </c>
      <c r="L301" s="6">
        <v>15302.217707971569</v>
      </c>
      <c r="M301" s="6">
        <v>8097.7822920284252</v>
      </c>
      <c r="N301" s="4" t="s">
        <v>65</v>
      </c>
      <c r="O301" s="4" t="s">
        <v>74</v>
      </c>
    </row>
    <row r="302" spans="1:15" x14ac:dyDescent="0.25">
      <c r="A302" s="4" t="s">
        <v>399</v>
      </c>
      <c r="B302" s="5">
        <v>46022</v>
      </c>
      <c r="C302" s="4" t="s">
        <v>61</v>
      </c>
      <c r="D302" s="4" t="s">
        <v>100</v>
      </c>
      <c r="E302" s="4" t="s">
        <v>57</v>
      </c>
      <c r="F302" s="4" t="s">
        <v>52</v>
      </c>
      <c r="G302" s="4" t="s">
        <v>64</v>
      </c>
      <c r="H302" s="4">
        <v>4</v>
      </c>
      <c r="I302" s="6">
        <v>120</v>
      </c>
      <c r="J302" s="7">
        <v>0.05</v>
      </c>
      <c r="K302" s="6">
        <v>456</v>
      </c>
      <c r="L302" s="6">
        <v>280.37494722954858</v>
      </c>
      <c r="M302" s="6">
        <v>175.62505277045139</v>
      </c>
      <c r="N302" s="4" t="s">
        <v>79</v>
      </c>
      <c r="O302" s="4" t="s">
        <v>55</v>
      </c>
    </row>
    <row r="303" spans="1:15" x14ac:dyDescent="0.25">
      <c r="A303" s="4" t="s">
        <v>400</v>
      </c>
      <c r="B303" s="5">
        <v>45865</v>
      </c>
      <c r="C303" s="4" t="s">
        <v>49</v>
      </c>
      <c r="D303" s="4" t="s">
        <v>76</v>
      </c>
      <c r="E303" s="4" t="s">
        <v>105</v>
      </c>
      <c r="F303" s="4" t="s">
        <v>52</v>
      </c>
      <c r="G303" s="4" t="s">
        <v>98</v>
      </c>
      <c r="H303" s="4">
        <v>14</v>
      </c>
      <c r="I303" s="6">
        <v>80</v>
      </c>
      <c r="J303" s="7">
        <v>0</v>
      </c>
      <c r="K303" s="6">
        <v>1120</v>
      </c>
      <c r="L303" s="6">
        <v>624.00674724921646</v>
      </c>
      <c r="M303" s="6">
        <v>495.99325275078348</v>
      </c>
      <c r="N303" s="4" t="s">
        <v>54</v>
      </c>
      <c r="O303" s="4" t="s">
        <v>66</v>
      </c>
    </row>
    <row r="304" spans="1:15" x14ac:dyDescent="0.25">
      <c r="A304" s="4" t="s">
        <v>401</v>
      </c>
      <c r="B304" s="5">
        <v>45771</v>
      </c>
      <c r="C304" s="4" t="s">
        <v>49</v>
      </c>
      <c r="D304" s="4" t="s">
        <v>72</v>
      </c>
      <c r="E304" s="4" t="s">
        <v>131</v>
      </c>
      <c r="F304" s="4" t="s">
        <v>58</v>
      </c>
      <c r="G304" s="4" t="s">
        <v>59</v>
      </c>
      <c r="H304" s="4">
        <v>2</v>
      </c>
      <c r="I304" s="6">
        <v>12000</v>
      </c>
      <c r="J304" s="7">
        <v>0</v>
      </c>
      <c r="K304" s="6">
        <v>24000</v>
      </c>
      <c r="L304" s="6">
        <v>13540.41389840585</v>
      </c>
      <c r="M304" s="6">
        <v>10459.58610159415</v>
      </c>
      <c r="N304" s="4" t="s">
        <v>65</v>
      </c>
      <c r="O304" s="4" t="s">
        <v>55</v>
      </c>
    </row>
    <row r="305" spans="1:15" x14ac:dyDescent="0.25">
      <c r="A305" s="4" t="s">
        <v>402</v>
      </c>
      <c r="B305" s="5">
        <v>45691</v>
      </c>
      <c r="C305" s="4" t="s">
        <v>68</v>
      </c>
      <c r="D305" s="4" t="s">
        <v>108</v>
      </c>
      <c r="E305" s="4" t="s">
        <v>57</v>
      </c>
      <c r="F305" s="4" t="s">
        <v>58</v>
      </c>
      <c r="G305" s="4" t="s">
        <v>73</v>
      </c>
      <c r="H305" s="4">
        <v>15</v>
      </c>
      <c r="I305" s="6">
        <v>1800</v>
      </c>
      <c r="J305" s="7">
        <v>0</v>
      </c>
      <c r="K305" s="6">
        <v>27000</v>
      </c>
      <c r="L305" s="6">
        <v>14985.37913480679</v>
      </c>
      <c r="M305" s="6">
        <v>12014.62086519321</v>
      </c>
      <c r="N305" s="4" t="s">
        <v>54</v>
      </c>
      <c r="O305" s="4" t="s">
        <v>55</v>
      </c>
    </row>
    <row r="306" spans="1:15" x14ac:dyDescent="0.25">
      <c r="A306" s="4" t="s">
        <v>403</v>
      </c>
      <c r="B306" s="5">
        <v>45951</v>
      </c>
      <c r="C306" s="4" t="s">
        <v>61</v>
      </c>
      <c r="D306" s="4" t="s">
        <v>83</v>
      </c>
      <c r="E306" s="4" t="s">
        <v>123</v>
      </c>
      <c r="F306" s="4" t="s">
        <v>52</v>
      </c>
      <c r="G306" s="4" t="s">
        <v>64</v>
      </c>
      <c r="H306" s="4">
        <v>1</v>
      </c>
      <c r="I306" s="6">
        <v>120</v>
      </c>
      <c r="J306" s="7">
        <v>0.1</v>
      </c>
      <c r="K306" s="6">
        <v>108</v>
      </c>
      <c r="L306" s="6">
        <v>67.397600545261071</v>
      </c>
      <c r="M306" s="6">
        <v>40.602399454738929</v>
      </c>
      <c r="N306" s="4" t="s">
        <v>54</v>
      </c>
      <c r="O306" s="4" t="s">
        <v>55</v>
      </c>
    </row>
    <row r="307" spans="1:15" x14ac:dyDescent="0.25">
      <c r="A307" s="4" t="s">
        <v>404</v>
      </c>
      <c r="B307" s="5">
        <v>45753</v>
      </c>
      <c r="C307" s="4" t="s">
        <v>90</v>
      </c>
      <c r="D307" s="4" t="s">
        <v>114</v>
      </c>
      <c r="E307" s="4" t="s">
        <v>63</v>
      </c>
      <c r="F307" s="4" t="s">
        <v>85</v>
      </c>
      <c r="G307" s="4" t="s">
        <v>86</v>
      </c>
      <c r="H307" s="4">
        <v>3</v>
      </c>
      <c r="I307" s="6">
        <v>1200</v>
      </c>
      <c r="J307" s="7">
        <v>0.05</v>
      </c>
      <c r="K307" s="6">
        <v>3420</v>
      </c>
      <c r="L307" s="6">
        <v>2157.7849357431819</v>
      </c>
      <c r="M307" s="6">
        <v>1262.2150642568181</v>
      </c>
      <c r="N307" s="4" t="s">
        <v>79</v>
      </c>
      <c r="O307" s="4" t="s">
        <v>55</v>
      </c>
    </row>
    <row r="308" spans="1:15" x14ac:dyDescent="0.25">
      <c r="A308" s="4" t="s">
        <v>405</v>
      </c>
      <c r="B308" s="5">
        <v>45903</v>
      </c>
      <c r="C308" s="4" t="s">
        <v>61</v>
      </c>
      <c r="D308" s="4" t="s">
        <v>83</v>
      </c>
      <c r="E308" s="4" t="s">
        <v>84</v>
      </c>
      <c r="F308" s="4" t="s">
        <v>77</v>
      </c>
      <c r="G308" s="4" t="s">
        <v>78</v>
      </c>
      <c r="H308" s="4">
        <v>8</v>
      </c>
      <c r="I308" s="6">
        <v>6500</v>
      </c>
      <c r="J308" s="7">
        <v>0.1</v>
      </c>
      <c r="K308" s="6">
        <v>46800</v>
      </c>
      <c r="L308" s="6">
        <v>39158.031746940593</v>
      </c>
      <c r="M308" s="6">
        <v>7641.9682530594146</v>
      </c>
      <c r="N308" s="4" t="s">
        <v>65</v>
      </c>
      <c r="O308" s="4" t="s">
        <v>80</v>
      </c>
    </row>
    <row r="309" spans="1:15" x14ac:dyDescent="0.25">
      <c r="A309" s="4" t="s">
        <v>406</v>
      </c>
      <c r="B309" s="5">
        <v>45936</v>
      </c>
      <c r="C309" s="4" t="s">
        <v>90</v>
      </c>
      <c r="D309" s="4" t="s">
        <v>114</v>
      </c>
      <c r="E309" s="4" t="s">
        <v>84</v>
      </c>
      <c r="F309" s="4" t="s">
        <v>85</v>
      </c>
      <c r="G309" s="4" t="s">
        <v>92</v>
      </c>
      <c r="H309" s="4">
        <v>11</v>
      </c>
      <c r="I309" s="6">
        <v>2200</v>
      </c>
      <c r="J309" s="7">
        <v>0.15</v>
      </c>
      <c r="K309" s="6">
        <v>20570</v>
      </c>
      <c r="L309" s="6">
        <v>14696.75640509113</v>
      </c>
      <c r="M309" s="6">
        <v>5873.2435949088704</v>
      </c>
      <c r="N309" s="4" t="s">
        <v>79</v>
      </c>
      <c r="O309" s="4" t="s">
        <v>80</v>
      </c>
    </row>
    <row r="310" spans="1:15" x14ac:dyDescent="0.25">
      <c r="A310" s="4" t="s">
        <v>407</v>
      </c>
      <c r="B310" s="5">
        <v>45856</v>
      </c>
      <c r="C310" s="4" t="s">
        <v>90</v>
      </c>
      <c r="D310" s="4" t="s">
        <v>91</v>
      </c>
      <c r="E310" s="4" t="s">
        <v>63</v>
      </c>
      <c r="F310" s="4" t="s">
        <v>85</v>
      </c>
      <c r="G310" s="4" t="s">
        <v>116</v>
      </c>
      <c r="H310" s="4">
        <v>15</v>
      </c>
      <c r="I310" s="6">
        <v>3000</v>
      </c>
      <c r="J310" s="7">
        <v>0.15</v>
      </c>
      <c r="K310" s="6">
        <v>38250</v>
      </c>
      <c r="L310" s="6">
        <v>29949.770194877728</v>
      </c>
      <c r="M310" s="6">
        <v>8300.2298051222715</v>
      </c>
      <c r="N310" s="4" t="s">
        <v>65</v>
      </c>
      <c r="O310" s="4" t="s">
        <v>74</v>
      </c>
    </row>
    <row r="311" spans="1:15" x14ac:dyDescent="0.25">
      <c r="A311" s="4" t="s">
        <v>408</v>
      </c>
      <c r="B311" s="5">
        <v>45899</v>
      </c>
      <c r="C311" s="4" t="s">
        <v>68</v>
      </c>
      <c r="D311" s="4" t="s">
        <v>108</v>
      </c>
      <c r="E311" s="4" t="s">
        <v>101</v>
      </c>
      <c r="F311" s="4" t="s">
        <v>77</v>
      </c>
      <c r="G311" s="4" t="s">
        <v>158</v>
      </c>
      <c r="H311" s="4">
        <v>15</v>
      </c>
      <c r="I311" s="6">
        <v>7000</v>
      </c>
      <c r="J311" s="7">
        <v>0.05</v>
      </c>
      <c r="K311" s="6">
        <v>99750</v>
      </c>
      <c r="L311" s="6">
        <v>59164.978211216563</v>
      </c>
      <c r="M311" s="6">
        <v>40585.021788783437</v>
      </c>
      <c r="N311" s="4" t="s">
        <v>54</v>
      </c>
      <c r="O311" s="4" t="s">
        <v>66</v>
      </c>
    </row>
    <row r="312" spans="1:15" x14ac:dyDescent="0.25">
      <c r="A312" s="4" t="s">
        <v>409</v>
      </c>
      <c r="B312" s="5">
        <v>45686</v>
      </c>
      <c r="C312" s="4" t="s">
        <v>61</v>
      </c>
      <c r="D312" s="4" t="s">
        <v>83</v>
      </c>
      <c r="E312" s="4" t="s">
        <v>57</v>
      </c>
      <c r="F312" s="4" t="s">
        <v>77</v>
      </c>
      <c r="G312" s="4" t="s">
        <v>95</v>
      </c>
      <c r="H312" s="4">
        <v>5</v>
      </c>
      <c r="I312" s="6">
        <v>11000</v>
      </c>
      <c r="J312" s="7">
        <v>0.15</v>
      </c>
      <c r="K312" s="6">
        <v>46750</v>
      </c>
      <c r="L312" s="6">
        <v>40576.0072943505</v>
      </c>
      <c r="M312" s="6">
        <v>6173.9927056494998</v>
      </c>
      <c r="N312" s="4" t="s">
        <v>54</v>
      </c>
      <c r="O312" s="4" t="s">
        <v>55</v>
      </c>
    </row>
    <row r="313" spans="1:15" x14ac:dyDescent="0.25">
      <c r="A313" s="4" t="s">
        <v>410</v>
      </c>
      <c r="B313" s="5">
        <v>46015</v>
      </c>
      <c r="C313" s="4" t="s">
        <v>68</v>
      </c>
      <c r="D313" s="4" t="s">
        <v>69</v>
      </c>
      <c r="E313" s="4" t="s">
        <v>101</v>
      </c>
      <c r="F313" s="4" t="s">
        <v>77</v>
      </c>
      <c r="G313" s="4" t="s">
        <v>95</v>
      </c>
      <c r="H313" s="4">
        <v>10</v>
      </c>
      <c r="I313" s="6">
        <v>11000</v>
      </c>
      <c r="J313" s="7">
        <v>0.05</v>
      </c>
      <c r="K313" s="6">
        <v>104500</v>
      </c>
      <c r="L313" s="6">
        <v>80897.118701592524</v>
      </c>
      <c r="M313" s="6">
        <v>23602.881298407479</v>
      </c>
      <c r="N313" s="4" t="s">
        <v>54</v>
      </c>
      <c r="O313" s="4" t="s">
        <v>74</v>
      </c>
    </row>
    <row r="314" spans="1:15" x14ac:dyDescent="0.25">
      <c r="A314" s="4" t="s">
        <v>411</v>
      </c>
      <c r="B314" s="5">
        <v>45747</v>
      </c>
      <c r="C314" s="4" t="s">
        <v>68</v>
      </c>
      <c r="D314" s="4" t="s">
        <v>108</v>
      </c>
      <c r="E314" s="4" t="s">
        <v>105</v>
      </c>
      <c r="F314" s="4" t="s">
        <v>77</v>
      </c>
      <c r="G314" s="4" t="s">
        <v>95</v>
      </c>
      <c r="H314" s="4">
        <v>14</v>
      </c>
      <c r="I314" s="6">
        <v>11000</v>
      </c>
      <c r="J314" s="7">
        <v>0.1</v>
      </c>
      <c r="K314" s="6">
        <v>138600</v>
      </c>
      <c r="L314" s="6">
        <v>103902.0533858736</v>
      </c>
      <c r="M314" s="6">
        <v>34697.946614126413</v>
      </c>
      <c r="N314" s="4" t="s">
        <v>65</v>
      </c>
      <c r="O314" s="4" t="s">
        <v>74</v>
      </c>
    </row>
    <row r="315" spans="1:15" x14ac:dyDescent="0.25">
      <c r="A315" s="4" t="s">
        <v>412</v>
      </c>
      <c r="B315" s="5">
        <v>45972</v>
      </c>
      <c r="C315" s="4" t="s">
        <v>49</v>
      </c>
      <c r="D315" s="4" t="s">
        <v>50</v>
      </c>
      <c r="E315" s="4" t="s">
        <v>57</v>
      </c>
      <c r="F315" s="4" t="s">
        <v>77</v>
      </c>
      <c r="G315" s="4" t="s">
        <v>158</v>
      </c>
      <c r="H315" s="4">
        <v>9</v>
      </c>
      <c r="I315" s="6">
        <v>7000</v>
      </c>
      <c r="J315" s="7">
        <v>0.1</v>
      </c>
      <c r="K315" s="6">
        <v>56700</v>
      </c>
      <c r="L315" s="6">
        <v>34659.903862601714</v>
      </c>
      <c r="M315" s="6">
        <v>22040.09613739829</v>
      </c>
      <c r="N315" s="4" t="s">
        <v>65</v>
      </c>
      <c r="O315" s="4" t="s">
        <v>80</v>
      </c>
    </row>
    <row r="316" spans="1:15" x14ac:dyDescent="0.25">
      <c r="A316" s="4" t="s">
        <v>413</v>
      </c>
      <c r="B316" s="5">
        <v>45730</v>
      </c>
      <c r="C316" s="4" t="s">
        <v>61</v>
      </c>
      <c r="D316" s="4" t="s">
        <v>62</v>
      </c>
      <c r="E316" s="4" t="s">
        <v>51</v>
      </c>
      <c r="F316" s="4" t="s">
        <v>58</v>
      </c>
      <c r="G316" s="4" t="s">
        <v>103</v>
      </c>
      <c r="H316" s="4">
        <v>3</v>
      </c>
      <c r="I316" s="6">
        <v>55000</v>
      </c>
      <c r="J316" s="7">
        <v>0.15</v>
      </c>
      <c r="K316" s="6">
        <v>140250</v>
      </c>
      <c r="L316" s="6">
        <v>117493.2261687417</v>
      </c>
      <c r="M316" s="6">
        <v>22756.773831258281</v>
      </c>
      <c r="N316" s="4" t="s">
        <v>54</v>
      </c>
      <c r="O316" s="4" t="s">
        <v>80</v>
      </c>
    </row>
    <row r="317" spans="1:15" x14ac:dyDescent="0.25">
      <c r="A317" s="4" t="s">
        <v>414</v>
      </c>
      <c r="B317" s="5">
        <v>45738</v>
      </c>
      <c r="C317" s="4" t="s">
        <v>49</v>
      </c>
      <c r="D317" s="4" t="s">
        <v>72</v>
      </c>
      <c r="E317" s="4" t="s">
        <v>123</v>
      </c>
      <c r="F317" s="4" t="s">
        <v>85</v>
      </c>
      <c r="G317" s="4" t="s">
        <v>106</v>
      </c>
      <c r="H317" s="4">
        <v>6</v>
      </c>
      <c r="I317" s="6">
        <v>900</v>
      </c>
      <c r="J317" s="7">
        <v>0.05</v>
      </c>
      <c r="K317" s="6">
        <v>5130</v>
      </c>
      <c r="L317" s="6">
        <v>3370.6731798311539</v>
      </c>
      <c r="M317" s="6">
        <v>1759.3268201688461</v>
      </c>
      <c r="N317" s="4" t="s">
        <v>54</v>
      </c>
      <c r="O317" s="4" t="s">
        <v>55</v>
      </c>
    </row>
    <row r="318" spans="1:15" x14ac:dyDescent="0.25">
      <c r="A318" s="4" t="s">
        <v>415</v>
      </c>
      <c r="B318" s="5">
        <v>45851</v>
      </c>
      <c r="C318" s="4" t="s">
        <v>68</v>
      </c>
      <c r="D318" s="4" t="s">
        <v>69</v>
      </c>
      <c r="E318" s="4" t="s">
        <v>63</v>
      </c>
      <c r="F318" s="4" t="s">
        <v>52</v>
      </c>
      <c r="G318" s="4" t="s">
        <v>53</v>
      </c>
      <c r="H318" s="4">
        <v>11</v>
      </c>
      <c r="I318" s="6">
        <v>250</v>
      </c>
      <c r="J318" s="7">
        <v>0.15</v>
      </c>
      <c r="K318" s="6">
        <v>2337.5</v>
      </c>
      <c r="L318" s="6">
        <v>2027.6423045501849</v>
      </c>
      <c r="M318" s="6">
        <v>309.85769544981491</v>
      </c>
      <c r="N318" s="4" t="s">
        <v>54</v>
      </c>
      <c r="O318" s="4" t="s">
        <v>80</v>
      </c>
    </row>
    <row r="319" spans="1:15" x14ac:dyDescent="0.25">
      <c r="A319" s="4" t="s">
        <v>416</v>
      </c>
      <c r="B319" s="5">
        <v>45966</v>
      </c>
      <c r="C319" s="4" t="s">
        <v>61</v>
      </c>
      <c r="D319" s="4" t="s">
        <v>83</v>
      </c>
      <c r="E319" s="4" t="s">
        <v>101</v>
      </c>
      <c r="F319" s="4" t="s">
        <v>58</v>
      </c>
      <c r="G319" s="4" t="s">
        <v>70</v>
      </c>
      <c r="H319" s="4">
        <v>14</v>
      </c>
      <c r="I319" s="6">
        <v>9000</v>
      </c>
      <c r="J319" s="7">
        <v>0.15</v>
      </c>
      <c r="K319" s="6">
        <v>107100</v>
      </c>
      <c r="L319" s="6">
        <v>70238.45189002699</v>
      </c>
      <c r="M319" s="6">
        <v>36861.54810997301</v>
      </c>
      <c r="N319" s="4" t="s">
        <v>54</v>
      </c>
      <c r="O319" s="4" t="s">
        <v>66</v>
      </c>
    </row>
    <row r="320" spans="1:15" x14ac:dyDescent="0.25">
      <c r="A320" s="4" t="s">
        <v>417</v>
      </c>
      <c r="B320" s="5">
        <v>45821</v>
      </c>
      <c r="C320" s="4" t="s">
        <v>49</v>
      </c>
      <c r="D320" s="4" t="s">
        <v>72</v>
      </c>
      <c r="E320" s="4" t="s">
        <v>131</v>
      </c>
      <c r="F320" s="4" t="s">
        <v>77</v>
      </c>
      <c r="G320" s="4" t="s">
        <v>78</v>
      </c>
      <c r="H320" s="4">
        <v>12</v>
      </c>
      <c r="I320" s="6">
        <v>6500</v>
      </c>
      <c r="J320" s="7">
        <v>0</v>
      </c>
      <c r="K320" s="6">
        <v>78000</v>
      </c>
      <c r="L320" s="6">
        <v>47169.646897180181</v>
      </c>
      <c r="M320" s="6">
        <v>30830.353102819819</v>
      </c>
      <c r="N320" s="4" t="s">
        <v>54</v>
      </c>
      <c r="O320" s="4" t="s">
        <v>74</v>
      </c>
    </row>
    <row r="321" spans="1:15" x14ac:dyDescent="0.25">
      <c r="A321" s="4" t="s">
        <v>418</v>
      </c>
      <c r="B321" s="5">
        <v>45837</v>
      </c>
      <c r="C321" s="4" t="s">
        <v>68</v>
      </c>
      <c r="D321" s="4" t="s">
        <v>88</v>
      </c>
      <c r="E321" s="4" t="s">
        <v>63</v>
      </c>
      <c r="F321" s="4" t="s">
        <v>58</v>
      </c>
      <c r="G321" s="4" t="s">
        <v>73</v>
      </c>
      <c r="H321" s="4">
        <v>4</v>
      </c>
      <c r="I321" s="6">
        <v>1800</v>
      </c>
      <c r="J321" s="7">
        <v>0</v>
      </c>
      <c r="K321" s="6">
        <v>7200</v>
      </c>
      <c r="L321" s="6">
        <v>5107.899582388015</v>
      </c>
      <c r="M321" s="6">
        <v>2092.100417611985</v>
      </c>
      <c r="N321" s="4" t="s">
        <v>65</v>
      </c>
      <c r="O321" s="4" t="s">
        <v>74</v>
      </c>
    </row>
    <row r="322" spans="1:15" x14ac:dyDescent="0.25">
      <c r="A322" s="4" t="s">
        <v>419</v>
      </c>
      <c r="B322" s="5">
        <v>45851</v>
      </c>
      <c r="C322" s="4" t="s">
        <v>49</v>
      </c>
      <c r="D322" s="4" t="s">
        <v>72</v>
      </c>
      <c r="E322" s="4" t="s">
        <v>101</v>
      </c>
      <c r="F322" s="4" t="s">
        <v>85</v>
      </c>
      <c r="G322" s="4" t="s">
        <v>86</v>
      </c>
      <c r="H322" s="4">
        <v>3</v>
      </c>
      <c r="I322" s="6">
        <v>1200</v>
      </c>
      <c r="J322" s="7">
        <v>0.1</v>
      </c>
      <c r="K322" s="6">
        <v>3240</v>
      </c>
      <c r="L322" s="6">
        <v>2388.2718905963461</v>
      </c>
      <c r="M322" s="6">
        <v>851.72810940365389</v>
      </c>
      <c r="N322" s="4" t="s">
        <v>54</v>
      </c>
      <c r="O322" s="4" t="s">
        <v>55</v>
      </c>
    </row>
    <row r="323" spans="1:15" x14ac:dyDescent="0.25">
      <c r="A323" s="4" t="s">
        <v>420</v>
      </c>
      <c r="B323" s="5">
        <v>45675</v>
      </c>
      <c r="C323" s="4" t="s">
        <v>49</v>
      </c>
      <c r="D323" s="4" t="s">
        <v>72</v>
      </c>
      <c r="E323" s="4" t="s">
        <v>63</v>
      </c>
      <c r="F323" s="4" t="s">
        <v>77</v>
      </c>
      <c r="G323" s="4" t="s">
        <v>95</v>
      </c>
      <c r="H323" s="4">
        <v>8</v>
      </c>
      <c r="I323" s="6">
        <v>11000</v>
      </c>
      <c r="J323" s="7">
        <v>0</v>
      </c>
      <c r="K323" s="6">
        <v>88000</v>
      </c>
      <c r="L323" s="6">
        <v>64575.698010908309</v>
      </c>
      <c r="M323" s="6">
        <v>23424.301989091691</v>
      </c>
      <c r="N323" s="4" t="s">
        <v>65</v>
      </c>
      <c r="O323" s="4" t="s">
        <v>80</v>
      </c>
    </row>
    <row r="324" spans="1:15" x14ac:dyDescent="0.25">
      <c r="A324" s="4" t="s">
        <v>421</v>
      </c>
      <c r="B324" s="5">
        <v>45696</v>
      </c>
      <c r="C324" s="4" t="s">
        <v>68</v>
      </c>
      <c r="D324" s="4" t="s">
        <v>69</v>
      </c>
      <c r="E324" s="4" t="s">
        <v>51</v>
      </c>
      <c r="F324" s="4" t="s">
        <v>58</v>
      </c>
      <c r="G324" s="4" t="s">
        <v>73</v>
      </c>
      <c r="H324" s="4">
        <v>3</v>
      </c>
      <c r="I324" s="6">
        <v>1800</v>
      </c>
      <c r="J324" s="7">
        <v>0.1</v>
      </c>
      <c r="K324" s="6">
        <v>4860</v>
      </c>
      <c r="L324" s="6">
        <v>3169.843382679861</v>
      </c>
      <c r="M324" s="6">
        <v>1690.156617320139</v>
      </c>
      <c r="N324" s="4" t="s">
        <v>79</v>
      </c>
      <c r="O324" s="4" t="s">
        <v>55</v>
      </c>
    </row>
    <row r="325" spans="1:15" x14ac:dyDescent="0.25">
      <c r="A325" s="4" t="s">
        <v>422</v>
      </c>
      <c r="B325" s="5">
        <v>45763</v>
      </c>
      <c r="C325" s="4" t="s">
        <v>49</v>
      </c>
      <c r="D325" s="4" t="s">
        <v>72</v>
      </c>
      <c r="E325" s="4" t="s">
        <v>57</v>
      </c>
      <c r="F325" s="4" t="s">
        <v>77</v>
      </c>
      <c r="G325" s="4" t="s">
        <v>119</v>
      </c>
      <c r="H325" s="4">
        <v>3</v>
      </c>
      <c r="I325" s="6">
        <v>8000</v>
      </c>
      <c r="J325" s="7">
        <v>0</v>
      </c>
      <c r="K325" s="6">
        <v>24000</v>
      </c>
      <c r="L325" s="6">
        <v>13758.943116572809</v>
      </c>
      <c r="M325" s="6">
        <v>10241.056883427191</v>
      </c>
      <c r="N325" s="4" t="s">
        <v>79</v>
      </c>
      <c r="O325" s="4" t="s">
        <v>80</v>
      </c>
    </row>
    <row r="326" spans="1:15" x14ac:dyDescent="0.25">
      <c r="A326" s="4" t="s">
        <v>423</v>
      </c>
      <c r="B326" s="5">
        <v>45909</v>
      </c>
      <c r="C326" s="4" t="s">
        <v>68</v>
      </c>
      <c r="D326" s="4" t="s">
        <v>88</v>
      </c>
      <c r="E326" s="4" t="s">
        <v>131</v>
      </c>
      <c r="F326" s="4" t="s">
        <v>77</v>
      </c>
      <c r="G326" s="4" t="s">
        <v>158</v>
      </c>
      <c r="H326" s="4">
        <v>1</v>
      </c>
      <c r="I326" s="6">
        <v>7000</v>
      </c>
      <c r="J326" s="7">
        <v>0.1</v>
      </c>
      <c r="K326" s="6">
        <v>6300</v>
      </c>
      <c r="L326" s="6">
        <v>4770.5493906509646</v>
      </c>
      <c r="M326" s="6">
        <v>1529.4506093490349</v>
      </c>
      <c r="N326" s="4" t="s">
        <v>65</v>
      </c>
      <c r="O326" s="4" t="s">
        <v>80</v>
      </c>
    </row>
    <row r="327" spans="1:15" x14ac:dyDescent="0.25">
      <c r="A327" s="4" t="s">
        <v>424</v>
      </c>
      <c r="B327" s="5">
        <v>45707</v>
      </c>
      <c r="C327" s="4" t="s">
        <v>49</v>
      </c>
      <c r="D327" s="4" t="s">
        <v>72</v>
      </c>
      <c r="E327" s="4" t="s">
        <v>84</v>
      </c>
      <c r="F327" s="4" t="s">
        <v>58</v>
      </c>
      <c r="G327" s="4" t="s">
        <v>73</v>
      </c>
      <c r="H327" s="4">
        <v>14</v>
      </c>
      <c r="I327" s="6">
        <v>1800</v>
      </c>
      <c r="J327" s="7">
        <v>0.15</v>
      </c>
      <c r="K327" s="6">
        <v>21420</v>
      </c>
      <c r="L327" s="6">
        <v>16643.983391622569</v>
      </c>
      <c r="M327" s="6">
        <v>4776.0166083774311</v>
      </c>
      <c r="N327" s="4" t="s">
        <v>65</v>
      </c>
      <c r="O327" s="4" t="s">
        <v>66</v>
      </c>
    </row>
    <row r="328" spans="1:15" x14ac:dyDescent="0.25">
      <c r="A328" s="4" t="s">
        <v>425</v>
      </c>
      <c r="B328" s="5">
        <v>45996</v>
      </c>
      <c r="C328" s="4" t="s">
        <v>68</v>
      </c>
      <c r="D328" s="4" t="s">
        <v>69</v>
      </c>
      <c r="E328" s="4" t="s">
        <v>63</v>
      </c>
      <c r="F328" s="4" t="s">
        <v>85</v>
      </c>
      <c r="G328" s="4" t="s">
        <v>106</v>
      </c>
      <c r="H328" s="4">
        <v>5</v>
      </c>
      <c r="I328" s="6">
        <v>900</v>
      </c>
      <c r="J328" s="7">
        <v>0.1</v>
      </c>
      <c r="K328" s="6">
        <v>4050</v>
      </c>
      <c r="L328" s="6">
        <v>2962.4275088028248</v>
      </c>
      <c r="M328" s="6">
        <v>1087.5724911971749</v>
      </c>
      <c r="N328" s="4" t="s">
        <v>65</v>
      </c>
      <c r="O328" s="4" t="s">
        <v>55</v>
      </c>
    </row>
    <row r="329" spans="1:15" x14ac:dyDescent="0.25">
      <c r="A329" s="4" t="s">
        <v>426</v>
      </c>
      <c r="B329" s="5">
        <v>45883</v>
      </c>
      <c r="C329" s="4" t="s">
        <v>61</v>
      </c>
      <c r="D329" s="4" t="s">
        <v>62</v>
      </c>
      <c r="E329" s="4" t="s">
        <v>105</v>
      </c>
      <c r="F329" s="4" t="s">
        <v>85</v>
      </c>
      <c r="G329" s="4" t="s">
        <v>116</v>
      </c>
      <c r="H329" s="4">
        <v>3</v>
      </c>
      <c r="I329" s="6">
        <v>3000</v>
      </c>
      <c r="J329" s="7">
        <v>0.1</v>
      </c>
      <c r="K329" s="6">
        <v>8100</v>
      </c>
      <c r="L329" s="6">
        <v>5042.3570341246023</v>
      </c>
      <c r="M329" s="6">
        <v>3057.6429658753982</v>
      </c>
      <c r="N329" s="4" t="s">
        <v>79</v>
      </c>
      <c r="O329" s="4" t="s">
        <v>66</v>
      </c>
    </row>
    <row r="330" spans="1:15" x14ac:dyDescent="0.25">
      <c r="A330" s="4" t="s">
        <v>427</v>
      </c>
      <c r="B330" s="5">
        <v>45834</v>
      </c>
      <c r="C330" s="4" t="s">
        <v>68</v>
      </c>
      <c r="D330" s="4" t="s">
        <v>108</v>
      </c>
      <c r="E330" s="4" t="s">
        <v>123</v>
      </c>
      <c r="F330" s="4" t="s">
        <v>58</v>
      </c>
      <c r="G330" s="4" t="s">
        <v>59</v>
      </c>
      <c r="H330" s="4">
        <v>13</v>
      </c>
      <c r="I330" s="6">
        <v>12000</v>
      </c>
      <c r="J330" s="7">
        <v>0</v>
      </c>
      <c r="K330" s="6">
        <v>156000</v>
      </c>
      <c r="L330" s="6">
        <v>88875.178348816233</v>
      </c>
      <c r="M330" s="6">
        <v>67124.821651183767</v>
      </c>
      <c r="N330" s="4" t="s">
        <v>54</v>
      </c>
      <c r="O330" s="4" t="s">
        <v>66</v>
      </c>
    </row>
    <row r="331" spans="1:15" x14ac:dyDescent="0.25">
      <c r="A331" s="4" t="s">
        <v>428</v>
      </c>
      <c r="B331" s="5">
        <v>45698</v>
      </c>
      <c r="C331" s="4" t="s">
        <v>49</v>
      </c>
      <c r="D331" s="4" t="s">
        <v>72</v>
      </c>
      <c r="E331" s="4" t="s">
        <v>123</v>
      </c>
      <c r="F331" s="4" t="s">
        <v>85</v>
      </c>
      <c r="G331" s="4" t="s">
        <v>86</v>
      </c>
      <c r="H331" s="4">
        <v>10</v>
      </c>
      <c r="I331" s="6">
        <v>1200</v>
      </c>
      <c r="J331" s="7">
        <v>0</v>
      </c>
      <c r="K331" s="6">
        <v>12000</v>
      </c>
      <c r="L331" s="6">
        <v>7914.4838957848533</v>
      </c>
      <c r="M331" s="6">
        <v>4085.5161042151472</v>
      </c>
      <c r="N331" s="4" t="s">
        <v>54</v>
      </c>
      <c r="O331" s="4" t="s">
        <v>74</v>
      </c>
    </row>
    <row r="332" spans="1:15" x14ac:dyDescent="0.25">
      <c r="A332" s="4" t="s">
        <v>429</v>
      </c>
      <c r="B332" s="5">
        <v>45722</v>
      </c>
      <c r="C332" s="4" t="s">
        <v>61</v>
      </c>
      <c r="D332" s="4" t="s">
        <v>83</v>
      </c>
      <c r="E332" s="4" t="s">
        <v>84</v>
      </c>
      <c r="F332" s="4" t="s">
        <v>85</v>
      </c>
      <c r="G332" s="4" t="s">
        <v>92</v>
      </c>
      <c r="H332" s="4">
        <v>3</v>
      </c>
      <c r="I332" s="6">
        <v>2200</v>
      </c>
      <c r="J332" s="7">
        <v>0</v>
      </c>
      <c r="K332" s="6">
        <v>6600</v>
      </c>
      <c r="L332" s="6">
        <v>4857.2433749627926</v>
      </c>
      <c r="M332" s="6">
        <v>1742.756625037207</v>
      </c>
      <c r="N332" s="4" t="s">
        <v>79</v>
      </c>
      <c r="O332" s="4" t="s">
        <v>74</v>
      </c>
    </row>
    <row r="333" spans="1:15" x14ac:dyDescent="0.25">
      <c r="A333" s="4" t="s">
        <v>430</v>
      </c>
      <c r="B333" s="5">
        <v>45942</v>
      </c>
      <c r="C333" s="4" t="s">
        <v>90</v>
      </c>
      <c r="D333" s="4" t="s">
        <v>114</v>
      </c>
      <c r="E333" s="4" t="s">
        <v>123</v>
      </c>
      <c r="F333" s="4" t="s">
        <v>77</v>
      </c>
      <c r="G333" s="4" t="s">
        <v>78</v>
      </c>
      <c r="H333" s="4">
        <v>6</v>
      </c>
      <c r="I333" s="6">
        <v>6500</v>
      </c>
      <c r="J333" s="7">
        <v>0</v>
      </c>
      <c r="K333" s="6">
        <v>39000</v>
      </c>
      <c r="L333" s="6">
        <v>22230.636144662269</v>
      </c>
      <c r="M333" s="6">
        <v>16769.363855337731</v>
      </c>
      <c r="N333" s="4" t="s">
        <v>54</v>
      </c>
      <c r="O333" s="4" t="s">
        <v>80</v>
      </c>
    </row>
    <row r="334" spans="1:15" x14ac:dyDescent="0.25">
      <c r="A334" s="4" t="s">
        <v>431</v>
      </c>
      <c r="B334" s="5">
        <v>45872</v>
      </c>
      <c r="C334" s="4" t="s">
        <v>68</v>
      </c>
      <c r="D334" s="4" t="s">
        <v>108</v>
      </c>
      <c r="E334" s="4" t="s">
        <v>51</v>
      </c>
      <c r="F334" s="4" t="s">
        <v>85</v>
      </c>
      <c r="G334" s="4" t="s">
        <v>106</v>
      </c>
      <c r="H334" s="4">
        <v>13</v>
      </c>
      <c r="I334" s="6">
        <v>900</v>
      </c>
      <c r="J334" s="7">
        <v>0.15</v>
      </c>
      <c r="K334" s="6">
        <v>9945</v>
      </c>
      <c r="L334" s="6">
        <v>8016.1672520877</v>
      </c>
      <c r="M334" s="6">
        <v>1928.8327479123</v>
      </c>
      <c r="N334" s="4" t="s">
        <v>79</v>
      </c>
      <c r="O334" s="4" t="s">
        <v>66</v>
      </c>
    </row>
    <row r="335" spans="1:15" x14ac:dyDescent="0.25">
      <c r="A335" s="4" t="s">
        <v>432</v>
      </c>
      <c r="B335" s="5">
        <v>45932</v>
      </c>
      <c r="C335" s="4" t="s">
        <v>61</v>
      </c>
      <c r="D335" s="4" t="s">
        <v>100</v>
      </c>
      <c r="E335" s="4" t="s">
        <v>101</v>
      </c>
      <c r="F335" s="4" t="s">
        <v>58</v>
      </c>
      <c r="G335" s="4" t="s">
        <v>103</v>
      </c>
      <c r="H335" s="4">
        <v>10</v>
      </c>
      <c r="I335" s="6">
        <v>55000</v>
      </c>
      <c r="J335" s="7">
        <v>0</v>
      </c>
      <c r="K335" s="6">
        <v>550000</v>
      </c>
      <c r="L335" s="6">
        <v>401896.82223417418</v>
      </c>
      <c r="M335" s="6">
        <v>148103.17776582579</v>
      </c>
      <c r="N335" s="4" t="s">
        <v>79</v>
      </c>
      <c r="O335" s="4" t="s">
        <v>80</v>
      </c>
    </row>
    <row r="336" spans="1:15" x14ac:dyDescent="0.25">
      <c r="A336" s="4" t="s">
        <v>433</v>
      </c>
      <c r="B336" s="5">
        <v>45731</v>
      </c>
      <c r="C336" s="4" t="s">
        <v>90</v>
      </c>
      <c r="D336" s="4" t="s">
        <v>91</v>
      </c>
      <c r="E336" s="4" t="s">
        <v>123</v>
      </c>
      <c r="F336" s="4" t="s">
        <v>85</v>
      </c>
      <c r="G336" s="4" t="s">
        <v>86</v>
      </c>
      <c r="H336" s="4">
        <v>1</v>
      </c>
      <c r="I336" s="6">
        <v>1200</v>
      </c>
      <c r="J336" s="7">
        <v>0</v>
      </c>
      <c r="K336" s="6">
        <v>1200</v>
      </c>
      <c r="L336" s="6">
        <v>736.01430320159216</v>
      </c>
      <c r="M336" s="6">
        <v>463.98569679840779</v>
      </c>
      <c r="N336" s="4" t="s">
        <v>65</v>
      </c>
      <c r="O336" s="4" t="s">
        <v>55</v>
      </c>
    </row>
    <row r="337" spans="1:15" x14ac:dyDescent="0.25">
      <c r="A337" s="4" t="s">
        <v>434</v>
      </c>
      <c r="B337" s="5">
        <v>45848</v>
      </c>
      <c r="C337" s="4" t="s">
        <v>68</v>
      </c>
      <c r="D337" s="4" t="s">
        <v>108</v>
      </c>
      <c r="E337" s="4" t="s">
        <v>84</v>
      </c>
      <c r="F337" s="4" t="s">
        <v>77</v>
      </c>
      <c r="G337" s="4" t="s">
        <v>158</v>
      </c>
      <c r="H337" s="4">
        <v>12</v>
      </c>
      <c r="I337" s="6">
        <v>7000</v>
      </c>
      <c r="J337" s="7">
        <v>0.1</v>
      </c>
      <c r="K337" s="6">
        <v>75600</v>
      </c>
      <c r="L337" s="6">
        <v>63990.531869747108</v>
      </c>
      <c r="M337" s="6">
        <v>11609.46813025289</v>
      </c>
      <c r="N337" s="4" t="s">
        <v>79</v>
      </c>
      <c r="O337" s="4" t="s">
        <v>80</v>
      </c>
    </row>
    <row r="338" spans="1:15" x14ac:dyDescent="0.25">
      <c r="A338" s="4" t="s">
        <v>435</v>
      </c>
      <c r="B338" s="5">
        <v>45884</v>
      </c>
      <c r="C338" s="4" t="s">
        <v>68</v>
      </c>
      <c r="D338" s="4" t="s">
        <v>88</v>
      </c>
      <c r="E338" s="4" t="s">
        <v>101</v>
      </c>
      <c r="F338" s="4" t="s">
        <v>85</v>
      </c>
      <c r="G338" s="4" t="s">
        <v>106</v>
      </c>
      <c r="H338" s="4">
        <v>14</v>
      </c>
      <c r="I338" s="6">
        <v>900</v>
      </c>
      <c r="J338" s="7">
        <v>0</v>
      </c>
      <c r="K338" s="6">
        <v>12600</v>
      </c>
      <c r="L338" s="6">
        <v>7319.4492397665408</v>
      </c>
      <c r="M338" s="6">
        <v>5280.5507602334592</v>
      </c>
      <c r="N338" s="4" t="s">
        <v>79</v>
      </c>
      <c r="O338" s="4" t="s">
        <v>55</v>
      </c>
    </row>
    <row r="339" spans="1:15" x14ac:dyDescent="0.25">
      <c r="A339" s="4" t="s">
        <v>436</v>
      </c>
      <c r="B339" s="5">
        <v>45922</v>
      </c>
      <c r="C339" s="4" t="s">
        <v>49</v>
      </c>
      <c r="D339" s="4" t="s">
        <v>50</v>
      </c>
      <c r="E339" s="4" t="s">
        <v>101</v>
      </c>
      <c r="F339" s="4" t="s">
        <v>85</v>
      </c>
      <c r="G339" s="4" t="s">
        <v>92</v>
      </c>
      <c r="H339" s="4">
        <v>15</v>
      </c>
      <c r="I339" s="6">
        <v>2200</v>
      </c>
      <c r="J339" s="7">
        <v>0.1</v>
      </c>
      <c r="K339" s="6">
        <v>29700</v>
      </c>
      <c r="L339" s="6">
        <v>23773.771023802859</v>
      </c>
      <c r="M339" s="6">
        <v>5926.2289761971406</v>
      </c>
      <c r="N339" s="4" t="s">
        <v>65</v>
      </c>
      <c r="O339" s="4" t="s">
        <v>66</v>
      </c>
    </row>
    <row r="340" spans="1:15" x14ac:dyDescent="0.25">
      <c r="A340" s="4" t="s">
        <v>437</v>
      </c>
      <c r="B340" s="5">
        <v>45672</v>
      </c>
      <c r="C340" s="4" t="s">
        <v>49</v>
      </c>
      <c r="D340" s="4" t="s">
        <v>72</v>
      </c>
      <c r="E340" s="4" t="s">
        <v>131</v>
      </c>
      <c r="F340" s="4" t="s">
        <v>85</v>
      </c>
      <c r="G340" s="4" t="s">
        <v>92</v>
      </c>
      <c r="H340" s="4">
        <v>13</v>
      </c>
      <c r="I340" s="6">
        <v>2200</v>
      </c>
      <c r="J340" s="7">
        <v>0.15</v>
      </c>
      <c r="K340" s="6">
        <v>24310</v>
      </c>
      <c r="L340" s="6">
        <v>21514.24978596513</v>
      </c>
      <c r="M340" s="6">
        <v>2795.7502140348661</v>
      </c>
      <c r="N340" s="4" t="s">
        <v>65</v>
      </c>
      <c r="O340" s="4" t="s">
        <v>66</v>
      </c>
    </row>
    <row r="341" spans="1:15" x14ac:dyDescent="0.25">
      <c r="A341" s="4" t="s">
        <v>438</v>
      </c>
      <c r="B341" s="5">
        <v>45798</v>
      </c>
      <c r="C341" s="4" t="s">
        <v>49</v>
      </c>
      <c r="D341" s="4" t="s">
        <v>50</v>
      </c>
      <c r="E341" s="4" t="s">
        <v>101</v>
      </c>
      <c r="F341" s="4" t="s">
        <v>58</v>
      </c>
      <c r="G341" s="4" t="s">
        <v>70</v>
      </c>
      <c r="H341" s="4">
        <v>1</v>
      </c>
      <c r="I341" s="6">
        <v>9000</v>
      </c>
      <c r="J341" s="7">
        <v>0.05</v>
      </c>
      <c r="K341" s="6">
        <v>8550</v>
      </c>
      <c r="L341" s="6">
        <v>6408.5922666054757</v>
      </c>
      <c r="M341" s="6">
        <v>2141.4077333945238</v>
      </c>
      <c r="N341" s="4" t="s">
        <v>79</v>
      </c>
      <c r="O341" s="4" t="s">
        <v>55</v>
      </c>
    </row>
    <row r="342" spans="1:15" x14ac:dyDescent="0.25">
      <c r="A342" s="4" t="s">
        <v>439</v>
      </c>
      <c r="B342" s="5">
        <v>45748</v>
      </c>
      <c r="C342" s="4" t="s">
        <v>49</v>
      </c>
      <c r="D342" s="4" t="s">
        <v>76</v>
      </c>
      <c r="E342" s="4" t="s">
        <v>105</v>
      </c>
      <c r="F342" s="4" t="s">
        <v>58</v>
      </c>
      <c r="G342" s="4" t="s">
        <v>59</v>
      </c>
      <c r="H342" s="4">
        <v>6</v>
      </c>
      <c r="I342" s="6">
        <v>12000</v>
      </c>
      <c r="J342" s="7">
        <v>0.1</v>
      </c>
      <c r="K342" s="6">
        <v>64800</v>
      </c>
      <c r="L342" s="6">
        <v>49437.361907567632</v>
      </c>
      <c r="M342" s="6">
        <v>15362.638092432369</v>
      </c>
      <c r="N342" s="4" t="s">
        <v>54</v>
      </c>
      <c r="O342" s="4" t="s">
        <v>80</v>
      </c>
    </row>
    <row r="343" spans="1:15" x14ac:dyDescent="0.25">
      <c r="A343" s="4" t="s">
        <v>440</v>
      </c>
      <c r="B343" s="5">
        <v>45741</v>
      </c>
      <c r="C343" s="4" t="s">
        <v>68</v>
      </c>
      <c r="D343" s="4" t="s">
        <v>69</v>
      </c>
      <c r="E343" s="4" t="s">
        <v>57</v>
      </c>
      <c r="F343" s="4" t="s">
        <v>52</v>
      </c>
      <c r="G343" s="4" t="s">
        <v>64</v>
      </c>
      <c r="H343" s="4">
        <v>5</v>
      </c>
      <c r="I343" s="6">
        <v>120</v>
      </c>
      <c r="J343" s="7">
        <v>0</v>
      </c>
      <c r="K343" s="6">
        <v>600</v>
      </c>
      <c r="L343" s="6">
        <v>383.3460625622559</v>
      </c>
      <c r="M343" s="6">
        <v>216.6539374377441</v>
      </c>
      <c r="N343" s="4" t="s">
        <v>65</v>
      </c>
      <c r="O343" s="4" t="s">
        <v>66</v>
      </c>
    </row>
    <row r="344" spans="1:15" x14ac:dyDescent="0.25">
      <c r="A344" s="4" t="s">
        <v>441</v>
      </c>
      <c r="B344" s="5">
        <v>45725</v>
      </c>
      <c r="C344" s="4" t="s">
        <v>61</v>
      </c>
      <c r="D344" s="4" t="s">
        <v>62</v>
      </c>
      <c r="E344" s="4" t="s">
        <v>131</v>
      </c>
      <c r="F344" s="4" t="s">
        <v>85</v>
      </c>
      <c r="G344" s="4" t="s">
        <v>106</v>
      </c>
      <c r="H344" s="4">
        <v>14</v>
      </c>
      <c r="I344" s="6">
        <v>900</v>
      </c>
      <c r="J344" s="7">
        <v>0</v>
      </c>
      <c r="K344" s="6">
        <v>12600</v>
      </c>
      <c r="L344" s="6">
        <v>8303.9337045220418</v>
      </c>
      <c r="M344" s="6">
        <v>4296.0662954779582</v>
      </c>
      <c r="N344" s="4" t="s">
        <v>54</v>
      </c>
      <c r="O344" s="4" t="s">
        <v>74</v>
      </c>
    </row>
    <row r="345" spans="1:15" x14ac:dyDescent="0.25">
      <c r="A345" s="4" t="s">
        <v>442</v>
      </c>
      <c r="B345" s="5">
        <v>45893</v>
      </c>
      <c r="C345" s="4" t="s">
        <v>61</v>
      </c>
      <c r="D345" s="4" t="s">
        <v>62</v>
      </c>
      <c r="E345" s="4" t="s">
        <v>63</v>
      </c>
      <c r="F345" s="4" t="s">
        <v>52</v>
      </c>
      <c r="G345" s="4" t="s">
        <v>98</v>
      </c>
      <c r="H345" s="4">
        <v>7</v>
      </c>
      <c r="I345" s="6">
        <v>80</v>
      </c>
      <c r="J345" s="7">
        <v>0.1</v>
      </c>
      <c r="K345" s="6">
        <v>504</v>
      </c>
      <c r="L345" s="6">
        <v>417.68429909433229</v>
      </c>
      <c r="M345" s="6">
        <v>86.315700905667654</v>
      </c>
      <c r="N345" s="4" t="s">
        <v>65</v>
      </c>
      <c r="O345" s="4" t="s">
        <v>55</v>
      </c>
    </row>
    <row r="346" spans="1:15" x14ac:dyDescent="0.25">
      <c r="A346" s="4" t="s">
        <v>443</v>
      </c>
      <c r="B346" s="5">
        <v>45849</v>
      </c>
      <c r="C346" s="4" t="s">
        <v>68</v>
      </c>
      <c r="D346" s="4" t="s">
        <v>108</v>
      </c>
      <c r="E346" s="4" t="s">
        <v>63</v>
      </c>
      <c r="F346" s="4" t="s">
        <v>85</v>
      </c>
      <c r="G346" s="4" t="s">
        <v>106</v>
      </c>
      <c r="H346" s="4">
        <v>1</v>
      </c>
      <c r="I346" s="6">
        <v>900</v>
      </c>
      <c r="J346" s="7">
        <v>0.15</v>
      </c>
      <c r="K346" s="6">
        <v>765</v>
      </c>
      <c r="L346" s="6">
        <v>701.88188163271229</v>
      </c>
      <c r="M346" s="6">
        <v>63.118118367287707</v>
      </c>
      <c r="N346" s="4" t="s">
        <v>79</v>
      </c>
      <c r="O346" s="4" t="s">
        <v>74</v>
      </c>
    </row>
    <row r="347" spans="1:15" x14ac:dyDescent="0.25">
      <c r="A347" s="4" t="s">
        <v>444</v>
      </c>
      <c r="B347" s="5">
        <v>45791</v>
      </c>
      <c r="C347" s="4" t="s">
        <v>90</v>
      </c>
      <c r="D347" s="4" t="s">
        <v>114</v>
      </c>
      <c r="E347" s="4" t="s">
        <v>63</v>
      </c>
      <c r="F347" s="4" t="s">
        <v>52</v>
      </c>
      <c r="G347" s="4" t="s">
        <v>98</v>
      </c>
      <c r="H347" s="4">
        <v>11</v>
      </c>
      <c r="I347" s="6">
        <v>80</v>
      </c>
      <c r="J347" s="7">
        <v>0.05</v>
      </c>
      <c r="K347" s="6">
        <v>836</v>
      </c>
      <c r="L347" s="6">
        <v>658.36589989097058</v>
      </c>
      <c r="M347" s="6">
        <v>177.63410010902939</v>
      </c>
      <c r="N347" s="4" t="s">
        <v>65</v>
      </c>
      <c r="O347" s="4" t="s">
        <v>66</v>
      </c>
    </row>
    <row r="348" spans="1:15" x14ac:dyDescent="0.25">
      <c r="A348" s="4" t="s">
        <v>445</v>
      </c>
      <c r="B348" s="5">
        <v>45993</v>
      </c>
      <c r="C348" s="4" t="s">
        <v>61</v>
      </c>
      <c r="D348" s="4" t="s">
        <v>83</v>
      </c>
      <c r="E348" s="4" t="s">
        <v>105</v>
      </c>
      <c r="F348" s="4" t="s">
        <v>85</v>
      </c>
      <c r="G348" s="4" t="s">
        <v>116</v>
      </c>
      <c r="H348" s="4">
        <v>11</v>
      </c>
      <c r="I348" s="6">
        <v>3000</v>
      </c>
      <c r="J348" s="7">
        <v>0</v>
      </c>
      <c r="K348" s="6">
        <v>33000</v>
      </c>
      <c r="L348" s="6">
        <v>23624.539469727919</v>
      </c>
      <c r="M348" s="6">
        <v>9375.4605302720847</v>
      </c>
      <c r="N348" s="4" t="s">
        <v>79</v>
      </c>
      <c r="O348" s="4" t="s">
        <v>80</v>
      </c>
    </row>
    <row r="349" spans="1:15" x14ac:dyDescent="0.25">
      <c r="A349" s="4" t="s">
        <v>446</v>
      </c>
      <c r="B349" s="5">
        <v>45833</v>
      </c>
      <c r="C349" s="4" t="s">
        <v>90</v>
      </c>
      <c r="D349" s="4" t="s">
        <v>94</v>
      </c>
      <c r="E349" s="4" t="s">
        <v>57</v>
      </c>
      <c r="F349" s="4" t="s">
        <v>85</v>
      </c>
      <c r="G349" s="4" t="s">
        <v>106</v>
      </c>
      <c r="H349" s="4">
        <v>10</v>
      </c>
      <c r="I349" s="6">
        <v>900</v>
      </c>
      <c r="J349" s="7">
        <v>0.15</v>
      </c>
      <c r="K349" s="6">
        <v>7650</v>
      </c>
      <c r="L349" s="6">
        <v>6639.150431179437</v>
      </c>
      <c r="M349" s="6">
        <v>1010.849568820563</v>
      </c>
      <c r="N349" s="4" t="s">
        <v>54</v>
      </c>
      <c r="O349" s="4" t="s">
        <v>55</v>
      </c>
    </row>
    <row r="350" spans="1:15" x14ac:dyDescent="0.25">
      <c r="A350" s="4" t="s">
        <v>447</v>
      </c>
      <c r="B350" s="5">
        <v>45707</v>
      </c>
      <c r="C350" s="4" t="s">
        <v>68</v>
      </c>
      <c r="D350" s="4" t="s">
        <v>108</v>
      </c>
      <c r="E350" s="4" t="s">
        <v>105</v>
      </c>
      <c r="F350" s="4" t="s">
        <v>52</v>
      </c>
      <c r="G350" s="4" t="s">
        <v>53</v>
      </c>
      <c r="H350" s="4">
        <v>14</v>
      </c>
      <c r="I350" s="6">
        <v>250</v>
      </c>
      <c r="J350" s="7">
        <v>0.15</v>
      </c>
      <c r="K350" s="6">
        <v>2975</v>
      </c>
      <c r="L350" s="6">
        <v>2070.814365532221</v>
      </c>
      <c r="M350" s="6">
        <v>904.18563446777944</v>
      </c>
      <c r="N350" s="4" t="s">
        <v>65</v>
      </c>
      <c r="O350" s="4" t="s">
        <v>80</v>
      </c>
    </row>
    <row r="351" spans="1:15" x14ac:dyDescent="0.25">
      <c r="A351" s="4" t="s">
        <v>448</v>
      </c>
      <c r="B351" s="5">
        <v>45815</v>
      </c>
      <c r="C351" s="4" t="s">
        <v>61</v>
      </c>
      <c r="D351" s="4" t="s">
        <v>100</v>
      </c>
      <c r="E351" s="4" t="s">
        <v>123</v>
      </c>
      <c r="F351" s="4" t="s">
        <v>52</v>
      </c>
      <c r="G351" s="4" t="s">
        <v>64</v>
      </c>
      <c r="H351" s="4">
        <v>4</v>
      </c>
      <c r="I351" s="6">
        <v>120</v>
      </c>
      <c r="J351" s="7">
        <v>0.05</v>
      </c>
      <c r="K351" s="6">
        <v>456</v>
      </c>
      <c r="L351" s="6">
        <v>288.6554029625712</v>
      </c>
      <c r="M351" s="6">
        <v>167.3445970374288</v>
      </c>
      <c r="N351" s="4" t="s">
        <v>79</v>
      </c>
      <c r="O351" s="4" t="s">
        <v>80</v>
      </c>
    </row>
    <row r="352" spans="1:15" x14ac:dyDescent="0.25">
      <c r="A352" s="4" t="s">
        <v>449</v>
      </c>
      <c r="B352" s="5">
        <v>45982</v>
      </c>
      <c r="C352" s="4" t="s">
        <v>68</v>
      </c>
      <c r="D352" s="4" t="s">
        <v>108</v>
      </c>
      <c r="E352" s="4" t="s">
        <v>51</v>
      </c>
      <c r="F352" s="4" t="s">
        <v>52</v>
      </c>
      <c r="G352" s="4" t="s">
        <v>110</v>
      </c>
      <c r="H352" s="4">
        <v>14</v>
      </c>
      <c r="I352" s="6">
        <v>180</v>
      </c>
      <c r="J352" s="7">
        <v>0</v>
      </c>
      <c r="K352" s="6">
        <v>2520</v>
      </c>
      <c r="L352" s="6">
        <v>1658.7229946219261</v>
      </c>
      <c r="M352" s="6">
        <v>861.27700537807368</v>
      </c>
      <c r="N352" s="4" t="s">
        <v>79</v>
      </c>
      <c r="O352" s="4" t="s">
        <v>66</v>
      </c>
    </row>
    <row r="353" spans="1:15" x14ac:dyDescent="0.25">
      <c r="A353" s="4" t="s">
        <v>450</v>
      </c>
      <c r="B353" s="5">
        <v>45735</v>
      </c>
      <c r="C353" s="4" t="s">
        <v>49</v>
      </c>
      <c r="D353" s="4" t="s">
        <v>76</v>
      </c>
      <c r="E353" s="4" t="s">
        <v>131</v>
      </c>
      <c r="F353" s="4" t="s">
        <v>85</v>
      </c>
      <c r="G353" s="4" t="s">
        <v>116</v>
      </c>
      <c r="H353" s="4">
        <v>7</v>
      </c>
      <c r="I353" s="6">
        <v>3000</v>
      </c>
      <c r="J353" s="7">
        <v>0</v>
      </c>
      <c r="K353" s="6">
        <v>21000</v>
      </c>
      <c r="L353" s="6">
        <v>15756.20137688501</v>
      </c>
      <c r="M353" s="6">
        <v>5243.798623114988</v>
      </c>
      <c r="N353" s="4" t="s">
        <v>65</v>
      </c>
      <c r="O353" s="4" t="s">
        <v>80</v>
      </c>
    </row>
    <row r="354" spans="1:15" x14ac:dyDescent="0.25">
      <c r="A354" s="4" t="s">
        <v>451</v>
      </c>
      <c r="B354" s="5">
        <v>45907</v>
      </c>
      <c r="C354" s="4" t="s">
        <v>90</v>
      </c>
      <c r="D354" s="4" t="s">
        <v>91</v>
      </c>
      <c r="E354" s="4" t="s">
        <v>101</v>
      </c>
      <c r="F354" s="4" t="s">
        <v>85</v>
      </c>
      <c r="G354" s="4" t="s">
        <v>92</v>
      </c>
      <c r="H354" s="4">
        <v>6</v>
      </c>
      <c r="I354" s="6">
        <v>2200</v>
      </c>
      <c r="J354" s="7">
        <v>0</v>
      </c>
      <c r="K354" s="6">
        <v>13200</v>
      </c>
      <c r="L354" s="6">
        <v>9624.8654146890622</v>
      </c>
      <c r="M354" s="6">
        <v>3575.1345853109378</v>
      </c>
      <c r="N354" s="4" t="s">
        <v>54</v>
      </c>
      <c r="O354" s="4" t="s">
        <v>66</v>
      </c>
    </row>
    <row r="355" spans="1:15" x14ac:dyDescent="0.25">
      <c r="A355" s="4" t="s">
        <v>452</v>
      </c>
      <c r="B355" s="5">
        <v>45744</v>
      </c>
      <c r="C355" s="4" t="s">
        <v>68</v>
      </c>
      <c r="D355" s="4" t="s">
        <v>108</v>
      </c>
      <c r="E355" s="4" t="s">
        <v>131</v>
      </c>
      <c r="F355" s="4" t="s">
        <v>58</v>
      </c>
      <c r="G355" s="4" t="s">
        <v>103</v>
      </c>
      <c r="H355" s="4">
        <v>8</v>
      </c>
      <c r="I355" s="6">
        <v>55000</v>
      </c>
      <c r="J355" s="7">
        <v>0.05</v>
      </c>
      <c r="K355" s="6">
        <v>418000</v>
      </c>
      <c r="L355" s="6">
        <v>263189.49567550991</v>
      </c>
      <c r="M355" s="6">
        <v>154810.50432449009</v>
      </c>
      <c r="N355" s="4" t="s">
        <v>79</v>
      </c>
      <c r="O355" s="4" t="s">
        <v>74</v>
      </c>
    </row>
    <row r="356" spans="1:15" x14ac:dyDescent="0.25">
      <c r="A356" s="4" t="s">
        <v>453</v>
      </c>
      <c r="B356" s="5">
        <v>45854</v>
      </c>
      <c r="C356" s="4" t="s">
        <v>61</v>
      </c>
      <c r="D356" s="4" t="s">
        <v>100</v>
      </c>
      <c r="E356" s="4" t="s">
        <v>84</v>
      </c>
      <c r="F356" s="4" t="s">
        <v>85</v>
      </c>
      <c r="G356" s="4" t="s">
        <v>86</v>
      </c>
      <c r="H356" s="4">
        <v>7</v>
      </c>
      <c r="I356" s="6">
        <v>1200</v>
      </c>
      <c r="J356" s="7">
        <v>0.1</v>
      </c>
      <c r="K356" s="6">
        <v>7560</v>
      </c>
      <c r="L356" s="6">
        <v>6485.0133871312246</v>
      </c>
      <c r="M356" s="6">
        <v>1074.986612868775</v>
      </c>
      <c r="N356" s="4" t="s">
        <v>65</v>
      </c>
      <c r="O356" s="4" t="s">
        <v>66</v>
      </c>
    </row>
    <row r="357" spans="1:15" x14ac:dyDescent="0.25">
      <c r="A357" s="4" t="s">
        <v>454</v>
      </c>
      <c r="B357" s="5">
        <v>45785</v>
      </c>
      <c r="C357" s="4" t="s">
        <v>68</v>
      </c>
      <c r="D357" s="4" t="s">
        <v>69</v>
      </c>
      <c r="E357" s="4" t="s">
        <v>57</v>
      </c>
      <c r="F357" s="4" t="s">
        <v>52</v>
      </c>
      <c r="G357" s="4" t="s">
        <v>53</v>
      </c>
      <c r="H357" s="4">
        <v>1</v>
      </c>
      <c r="I357" s="6">
        <v>250</v>
      </c>
      <c r="J357" s="7">
        <v>0</v>
      </c>
      <c r="K357" s="6">
        <v>250</v>
      </c>
      <c r="L357" s="6">
        <v>173.5344983986183</v>
      </c>
      <c r="M357" s="6">
        <v>76.465501601381675</v>
      </c>
      <c r="N357" s="4" t="s">
        <v>54</v>
      </c>
      <c r="O357" s="4" t="s">
        <v>80</v>
      </c>
    </row>
    <row r="358" spans="1:15" x14ac:dyDescent="0.25">
      <c r="A358" s="4" t="s">
        <v>455</v>
      </c>
      <c r="B358" s="5">
        <v>45691</v>
      </c>
      <c r="C358" s="4" t="s">
        <v>68</v>
      </c>
      <c r="D358" s="4" t="s">
        <v>69</v>
      </c>
      <c r="E358" s="4" t="s">
        <v>84</v>
      </c>
      <c r="F358" s="4" t="s">
        <v>58</v>
      </c>
      <c r="G358" s="4" t="s">
        <v>70</v>
      </c>
      <c r="H358" s="4">
        <v>9</v>
      </c>
      <c r="I358" s="6">
        <v>9000</v>
      </c>
      <c r="J358" s="7">
        <v>0.15</v>
      </c>
      <c r="K358" s="6">
        <v>68850</v>
      </c>
      <c r="L358" s="6">
        <v>50252.924165663033</v>
      </c>
      <c r="M358" s="6">
        <v>18597.075834336971</v>
      </c>
      <c r="N358" s="4" t="s">
        <v>79</v>
      </c>
      <c r="O358" s="4" t="s">
        <v>80</v>
      </c>
    </row>
    <row r="359" spans="1:15" x14ac:dyDescent="0.25">
      <c r="A359" s="4" t="s">
        <v>456</v>
      </c>
      <c r="B359" s="5">
        <v>45908</v>
      </c>
      <c r="C359" s="4" t="s">
        <v>90</v>
      </c>
      <c r="D359" s="4" t="s">
        <v>91</v>
      </c>
      <c r="E359" s="4" t="s">
        <v>101</v>
      </c>
      <c r="F359" s="4" t="s">
        <v>52</v>
      </c>
      <c r="G359" s="4" t="s">
        <v>110</v>
      </c>
      <c r="H359" s="4">
        <v>15</v>
      </c>
      <c r="I359" s="6">
        <v>180</v>
      </c>
      <c r="J359" s="7">
        <v>0</v>
      </c>
      <c r="K359" s="6">
        <v>2700</v>
      </c>
      <c r="L359" s="6">
        <v>1697.837093178945</v>
      </c>
      <c r="M359" s="6">
        <v>1002.162906821055</v>
      </c>
      <c r="N359" s="4" t="s">
        <v>65</v>
      </c>
      <c r="O359" s="4" t="s">
        <v>66</v>
      </c>
    </row>
    <row r="360" spans="1:15" x14ac:dyDescent="0.25">
      <c r="A360" s="4" t="s">
        <v>457</v>
      </c>
      <c r="B360" s="5">
        <v>45669</v>
      </c>
      <c r="C360" s="4" t="s">
        <v>90</v>
      </c>
      <c r="D360" s="4" t="s">
        <v>114</v>
      </c>
      <c r="E360" s="4" t="s">
        <v>131</v>
      </c>
      <c r="F360" s="4" t="s">
        <v>77</v>
      </c>
      <c r="G360" s="4" t="s">
        <v>95</v>
      </c>
      <c r="H360" s="4">
        <v>12</v>
      </c>
      <c r="I360" s="6">
        <v>11000</v>
      </c>
      <c r="J360" s="7">
        <v>0</v>
      </c>
      <c r="K360" s="6">
        <v>132000</v>
      </c>
      <c r="L360" s="6">
        <v>79011.735357393074</v>
      </c>
      <c r="M360" s="6">
        <v>52988.264642606933</v>
      </c>
      <c r="N360" s="4" t="s">
        <v>65</v>
      </c>
      <c r="O360" s="4" t="s">
        <v>80</v>
      </c>
    </row>
    <row r="361" spans="1:15" x14ac:dyDescent="0.25">
      <c r="A361" s="4" t="s">
        <v>458</v>
      </c>
      <c r="B361" s="5">
        <v>45992</v>
      </c>
      <c r="C361" s="4" t="s">
        <v>49</v>
      </c>
      <c r="D361" s="4" t="s">
        <v>72</v>
      </c>
      <c r="E361" s="4" t="s">
        <v>84</v>
      </c>
      <c r="F361" s="4" t="s">
        <v>52</v>
      </c>
      <c r="G361" s="4" t="s">
        <v>64</v>
      </c>
      <c r="H361" s="4">
        <v>10</v>
      </c>
      <c r="I361" s="6">
        <v>120</v>
      </c>
      <c r="J361" s="7">
        <v>0</v>
      </c>
      <c r="K361" s="6">
        <v>1200</v>
      </c>
      <c r="L361" s="6">
        <v>842.70369677125905</v>
      </c>
      <c r="M361" s="6">
        <v>357.29630322874101</v>
      </c>
      <c r="N361" s="4" t="s">
        <v>65</v>
      </c>
      <c r="O361" s="4" t="s">
        <v>74</v>
      </c>
    </row>
    <row r="362" spans="1:15" x14ac:dyDescent="0.25">
      <c r="A362" s="4" t="s">
        <v>459</v>
      </c>
      <c r="B362" s="5">
        <v>45736</v>
      </c>
      <c r="C362" s="4" t="s">
        <v>90</v>
      </c>
      <c r="D362" s="4" t="s">
        <v>94</v>
      </c>
      <c r="E362" s="4" t="s">
        <v>57</v>
      </c>
      <c r="F362" s="4" t="s">
        <v>85</v>
      </c>
      <c r="G362" s="4" t="s">
        <v>106</v>
      </c>
      <c r="H362" s="4">
        <v>9</v>
      </c>
      <c r="I362" s="6">
        <v>900</v>
      </c>
      <c r="J362" s="7">
        <v>0.05</v>
      </c>
      <c r="K362" s="6">
        <v>7695</v>
      </c>
      <c r="L362" s="6">
        <v>5338.8003783045742</v>
      </c>
      <c r="M362" s="6">
        <v>2356.1996216954258</v>
      </c>
      <c r="N362" s="4" t="s">
        <v>54</v>
      </c>
      <c r="O362" s="4" t="s">
        <v>74</v>
      </c>
    </row>
    <row r="363" spans="1:15" x14ac:dyDescent="0.25">
      <c r="A363" s="4" t="s">
        <v>460</v>
      </c>
      <c r="B363" s="5">
        <v>45872</v>
      </c>
      <c r="C363" s="4" t="s">
        <v>68</v>
      </c>
      <c r="D363" s="4" t="s">
        <v>88</v>
      </c>
      <c r="E363" s="4" t="s">
        <v>51</v>
      </c>
      <c r="F363" s="4" t="s">
        <v>58</v>
      </c>
      <c r="G363" s="4" t="s">
        <v>73</v>
      </c>
      <c r="H363" s="4">
        <v>10</v>
      </c>
      <c r="I363" s="6">
        <v>1800</v>
      </c>
      <c r="J363" s="7">
        <v>0.15</v>
      </c>
      <c r="K363" s="6">
        <v>15300</v>
      </c>
      <c r="L363" s="6">
        <v>12801.00707328213</v>
      </c>
      <c r="M363" s="6">
        <v>2498.9929267178691</v>
      </c>
      <c r="N363" s="4" t="s">
        <v>54</v>
      </c>
      <c r="O363" s="4" t="s">
        <v>74</v>
      </c>
    </row>
    <row r="364" spans="1:15" x14ac:dyDescent="0.25">
      <c r="A364" s="4" t="s">
        <v>461</v>
      </c>
      <c r="B364" s="5">
        <v>45792</v>
      </c>
      <c r="C364" s="4" t="s">
        <v>68</v>
      </c>
      <c r="D364" s="4" t="s">
        <v>69</v>
      </c>
      <c r="E364" s="4" t="s">
        <v>57</v>
      </c>
      <c r="F364" s="4" t="s">
        <v>58</v>
      </c>
      <c r="G364" s="4" t="s">
        <v>70</v>
      </c>
      <c r="H364" s="4">
        <v>4</v>
      </c>
      <c r="I364" s="6">
        <v>9000</v>
      </c>
      <c r="J364" s="7">
        <v>0.15</v>
      </c>
      <c r="K364" s="6">
        <v>30600</v>
      </c>
      <c r="L364" s="6">
        <v>21453.92491729185</v>
      </c>
      <c r="M364" s="6">
        <v>9146.0750827081501</v>
      </c>
      <c r="N364" s="4" t="s">
        <v>79</v>
      </c>
      <c r="O364" s="4" t="s">
        <v>55</v>
      </c>
    </row>
    <row r="365" spans="1:15" x14ac:dyDescent="0.25">
      <c r="A365" s="4" t="s">
        <v>462</v>
      </c>
      <c r="B365" s="5">
        <v>45904</v>
      </c>
      <c r="C365" s="4" t="s">
        <v>68</v>
      </c>
      <c r="D365" s="4" t="s">
        <v>69</v>
      </c>
      <c r="E365" s="4" t="s">
        <v>101</v>
      </c>
      <c r="F365" s="4" t="s">
        <v>58</v>
      </c>
      <c r="G365" s="4" t="s">
        <v>70</v>
      </c>
      <c r="H365" s="4">
        <v>15</v>
      </c>
      <c r="I365" s="6">
        <v>9000</v>
      </c>
      <c r="J365" s="7">
        <v>0</v>
      </c>
      <c r="K365" s="6">
        <v>135000</v>
      </c>
      <c r="L365" s="6">
        <v>95618.73157488936</v>
      </c>
      <c r="M365" s="6">
        <v>39381.26842511064</v>
      </c>
      <c r="N365" s="4" t="s">
        <v>65</v>
      </c>
      <c r="O365" s="4" t="s">
        <v>74</v>
      </c>
    </row>
    <row r="366" spans="1:15" x14ac:dyDescent="0.25">
      <c r="A366" s="4" t="s">
        <v>463</v>
      </c>
      <c r="B366" s="5">
        <v>45734</v>
      </c>
      <c r="C366" s="4" t="s">
        <v>49</v>
      </c>
      <c r="D366" s="4" t="s">
        <v>76</v>
      </c>
      <c r="E366" s="4" t="s">
        <v>51</v>
      </c>
      <c r="F366" s="4" t="s">
        <v>58</v>
      </c>
      <c r="G366" s="4" t="s">
        <v>103</v>
      </c>
      <c r="H366" s="4">
        <v>14</v>
      </c>
      <c r="I366" s="6">
        <v>55000</v>
      </c>
      <c r="J366" s="7">
        <v>0.15</v>
      </c>
      <c r="K366" s="6">
        <v>654500</v>
      </c>
      <c r="L366" s="6">
        <v>541983.78389184049</v>
      </c>
      <c r="M366" s="6">
        <v>112516.2161081595</v>
      </c>
      <c r="N366" s="4" t="s">
        <v>54</v>
      </c>
      <c r="O366" s="4" t="s">
        <v>74</v>
      </c>
    </row>
    <row r="367" spans="1:15" x14ac:dyDescent="0.25">
      <c r="A367" s="4" t="s">
        <v>464</v>
      </c>
      <c r="B367" s="5">
        <v>45709</v>
      </c>
      <c r="C367" s="4" t="s">
        <v>49</v>
      </c>
      <c r="D367" s="4" t="s">
        <v>72</v>
      </c>
      <c r="E367" s="4" t="s">
        <v>131</v>
      </c>
      <c r="F367" s="4" t="s">
        <v>77</v>
      </c>
      <c r="G367" s="4" t="s">
        <v>119</v>
      </c>
      <c r="H367" s="4">
        <v>5</v>
      </c>
      <c r="I367" s="6">
        <v>8000</v>
      </c>
      <c r="J367" s="7">
        <v>0.05</v>
      </c>
      <c r="K367" s="6">
        <v>38000</v>
      </c>
      <c r="L367" s="6">
        <v>26271.351686572569</v>
      </c>
      <c r="M367" s="6">
        <v>11728.648313427429</v>
      </c>
      <c r="N367" s="4" t="s">
        <v>65</v>
      </c>
      <c r="O367" s="4" t="s">
        <v>80</v>
      </c>
    </row>
    <row r="368" spans="1:15" x14ac:dyDescent="0.25">
      <c r="A368" s="4" t="s">
        <v>465</v>
      </c>
      <c r="B368" s="5">
        <v>45681</v>
      </c>
      <c r="C368" s="4" t="s">
        <v>68</v>
      </c>
      <c r="D368" s="4" t="s">
        <v>108</v>
      </c>
      <c r="E368" s="4" t="s">
        <v>84</v>
      </c>
      <c r="F368" s="4" t="s">
        <v>52</v>
      </c>
      <c r="G368" s="4" t="s">
        <v>110</v>
      </c>
      <c r="H368" s="4">
        <v>12</v>
      </c>
      <c r="I368" s="6">
        <v>180</v>
      </c>
      <c r="J368" s="7">
        <v>0</v>
      </c>
      <c r="K368" s="6">
        <v>2160</v>
      </c>
      <c r="L368" s="6">
        <v>1235.195240060232</v>
      </c>
      <c r="M368" s="6">
        <v>924.80475993976756</v>
      </c>
      <c r="N368" s="4" t="s">
        <v>65</v>
      </c>
      <c r="O368" s="4" t="s">
        <v>66</v>
      </c>
    </row>
    <row r="369" spans="1:15" x14ac:dyDescent="0.25">
      <c r="A369" s="4" t="s">
        <v>466</v>
      </c>
      <c r="B369" s="5">
        <v>45833</v>
      </c>
      <c r="C369" s="4" t="s">
        <v>68</v>
      </c>
      <c r="D369" s="4" t="s">
        <v>88</v>
      </c>
      <c r="E369" s="4" t="s">
        <v>131</v>
      </c>
      <c r="F369" s="4" t="s">
        <v>85</v>
      </c>
      <c r="G369" s="4" t="s">
        <v>116</v>
      </c>
      <c r="H369" s="4">
        <v>15</v>
      </c>
      <c r="I369" s="6">
        <v>3000</v>
      </c>
      <c r="J369" s="7">
        <v>0</v>
      </c>
      <c r="K369" s="6">
        <v>45000</v>
      </c>
      <c r="L369" s="6">
        <v>28606.639286390549</v>
      </c>
      <c r="M369" s="6">
        <v>16393.360713609451</v>
      </c>
      <c r="N369" s="4" t="s">
        <v>65</v>
      </c>
      <c r="O369" s="4" t="s">
        <v>55</v>
      </c>
    </row>
    <row r="370" spans="1:15" x14ac:dyDescent="0.25">
      <c r="A370" s="4" t="s">
        <v>467</v>
      </c>
      <c r="B370" s="5">
        <v>45990</v>
      </c>
      <c r="C370" s="4" t="s">
        <v>90</v>
      </c>
      <c r="D370" s="4" t="s">
        <v>94</v>
      </c>
      <c r="E370" s="4" t="s">
        <v>131</v>
      </c>
      <c r="F370" s="4" t="s">
        <v>52</v>
      </c>
      <c r="G370" s="4" t="s">
        <v>110</v>
      </c>
      <c r="H370" s="4">
        <v>12</v>
      </c>
      <c r="I370" s="6">
        <v>180</v>
      </c>
      <c r="J370" s="7">
        <v>0.1</v>
      </c>
      <c r="K370" s="6">
        <v>1944</v>
      </c>
      <c r="L370" s="6">
        <v>1585.3898713642379</v>
      </c>
      <c r="M370" s="6">
        <v>358.61012863576161</v>
      </c>
      <c r="N370" s="4" t="s">
        <v>65</v>
      </c>
      <c r="O370" s="4" t="s">
        <v>66</v>
      </c>
    </row>
    <row r="371" spans="1:15" x14ac:dyDescent="0.25">
      <c r="A371" s="4" t="s">
        <v>468</v>
      </c>
      <c r="B371" s="5">
        <v>45949</v>
      </c>
      <c r="C371" s="4" t="s">
        <v>49</v>
      </c>
      <c r="D371" s="4" t="s">
        <v>50</v>
      </c>
      <c r="E371" s="4" t="s">
        <v>105</v>
      </c>
      <c r="F371" s="4" t="s">
        <v>58</v>
      </c>
      <c r="G371" s="4" t="s">
        <v>70</v>
      </c>
      <c r="H371" s="4">
        <v>15</v>
      </c>
      <c r="I371" s="6">
        <v>9000</v>
      </c>
      <c r="J371" s="7">
        <v>0.15</v>
      </c>
      <c r="K371" s="6">
        <v>114750</v>
      </c>
      <c r="L371" s="6">
        <v>89237.054109277742</v>
      </c>
      <c r="M371" s="6">
        <v>25512.945890722262</v>
      </c>
      <c r="N371" s="4" t="s">
        <v>65</v>
      </c>
      <c r="O371" s="4" t="s">
        <v>55</v>
      </c>
    </row>
    <row r="372" spans="1:15" x14ac:dyDescent="0.25">
      <c r="A372" s="4" t="s">
        <v>469</v>
      </c>
      <c r="B372" s="5">
        <v>45868</v>
      </c>
      <c r="C372" s="4" t="s">
        <v>68</v>
      </c>
      <c r="D372" s="4" t="s">
        <v>108</v>
      </c>
      <c r="E372" s="4" t="s">
        <v>105</v>
      </c>
      <c r="F372" s="4" t="s">
        <v>58</v>
      </c>
      <c r="G372" s="4" t="s">
        <v>59</v>
      </c>
      <c r="H372" s="4">
        <v>8</v>
      </c>
      <c r="I372" s="6">
        <v>12000</v>
      </c>
      <c r="J372" s="7">
        <v>0.1</v>
      </c>
      <c r="K372" s="6">
        <v>86400</v>
      </c>
      <c r="L372" s="6">
        <v>55293.65954457278</v>
      </c>
      <c r="M372" s="6">
        <v>31106.34045542722</v>
      </c>
      <c r="N372" s="4" t="s">
        <v>65</v>
      </c>
      <c r="O372" s="4" t="s">
        <v>74</v>
      </c>
    </row>
    <row r="373" spans="1:15" x14ac:dyDescent="0.25">
      <c r="A373" s="4" t="s">
        <v>470</v>
      </c>
      <c r="B373" s="5">
        <v>45953</v>
      </c>
      <c r="C373" s="4" t="s">
        <v>68</v>
      </c>
      <c r="D373" s="4" t="s">
        <v>108</v>
      </c>
      <c r="E373" s="4" t="s">
        <v>57</v>
      </c>
      <c r="F373" s="4" t="s">
        <v>52</v>
      </c>
      <c r="G373" s="4" t="s">
        <v>64</v>
      </c>
      <c r="H373" s="4">
        <v>12</v>
      </c>
      <c r="I373" s="6">
        <v>120</v>
      </c>
      <c r="J373" s="7">
        <v>0.15</v>
      </c>
      <c r="K373" s="6">
        <v>1224</v>
      </c>
      <c r="L373" s="6">
        <v>1046.2055114976181</v>
      </c>
      <c r="M373" s="6">
        <v>177.79448850238171</v>
      </c>
      <c r="N373" s="4" t="s">
        <v>54</v>
      </c>
      <c r="O373" s="4" t="s">
        <v>80</v>
      </c>
    </row>
    <row r="374" spans="1:15" x14ac:dyDescent="0.25">
      <c r="A374" s="4" t="s">
        <v>471</v>
      </c>
      <c r="B374" s="5">
        <v>45943</v>
      </c>
      <c r="C374" s="4" t="s">
        <v>49</v>
      </c>
      <c r="D374" s="4" t="s">
        <v>72</v>
      </c>
      <c r="E374" s="4" t="s">
        <v>84</v>
      </c>
      <c r="F374" s="4" t="s">
        <v>77</v>
      </c>
      <c r="G374" s="4" t="s">
        <v>119</v>
      </c>
      <c r="H374" s="4">
        <v>6</v>
      </c>
      <c r="I374" s="6">
        <v>8000</v>
      </c>
      <c r="J374" s="7">
        <v>0.1</v>
      </c>
      <c r="K374" s="6">
        <v>43200</v>
      </c>
      <c r="L374" s="6">
        <v>28041.145152918431</v>
      </c>
      <c r="M374" s="6">
        <v>15158.854847081569</v>
      </c>
      <c r="N374" s="4" t="s">
        <v>65</v>
      </c>
      <c r="O374" s="4" t="s">
        <v>66</v>
      </c>
    </row>
    <row r="375" spans="1:15" x14ac:dyDescent="0.25">
      <c r="A375" s="4" t="s">
        <v>472</v>
      </c>
      <c r="B375" s="5">
        <v>45827</v>
      </c>
      <c r="C375" s="4" t="s">
        <v>90</v>
      </c>
      <c r="D375" s="4" t="s">
        <v>94</v>
      </c>
      <c r="E375" s="4" t="s">
        <v>63</v>
      </c>
      <c r="F375" s="4" t="s">
        <v>77</v>
      </c>
      <c r="G375" s="4" t="s">
        <v>158</v>
      </c>
      <c r="H375" s="4">
        <v>13</v>
      </c>
      <c r="I375" s="6">
        <v>7000</v>
      </c>
      <c r="J375" s="7">
        <v>0.1</v>
      </c>
      <c r="K375" s="6">
        <v>81900</v>
      </c>
      <c r="L375" s="6">
        <v>56760.865759118387</v>
      </c>
      <c r="M375" s="6">
        <v>25139.134240881609</v>
      </c>
      <c r="N375" s="4" t="s">
        <v>65</v>
      </c>
      <c r="O375" s="4" t="s">
        <v>66</v>
      </c>
    </row>
    <row r="376" spans="1:15" x14ac:dyDescent="0.25">
      <c r="A376" s="4" t="s">
        <v>473</v>
      </c>
      <c r="B376" s="5">
        <v>45887</v>
      </c>
      <c r="C376" s="4" t="s">
        <v>90</v>
      </c>
      <c r="D376" s="4" t="s">
        <v>94</v>
      </c>
      <c r="E376" s="4" t="s">
        <v>51</v>
      </c>
      <c r="F376" s="4" t="s">
        <v>77</v>
      </c>
      <c r="G376" s="4" t="s">
        <v>158</v>
      </c>
      <c r="H376" s="4">
        <v>8</v>
      </c>
      <c r="I376" s="6">
        <v>7000</v>
      </c>
      <c r="J376" s="7">
        <v>0.1</v>
      </c>
      <c r="K376" s="6">
        <v>50400</v>
      </c>
      <c r="L376" s="6">
        <v>41120.245385920192</v>
      </c>
      <c r="M376" s="6">
        <v>9279.7546140798149</v>
      </c>
      <c r="N376" s="4" t="s">
        <v>79</v>
      </c>
      <c r="O376" s="4" t="s">
        <v>55</v>
      </c>
    </row>
    <row r="377" spans="1:15" x14ac:dyDescent="0.25">
      <c r="A377" s="4" t="s">
        <v>474</v>
      </c>
      <c r="B377" s="5">
        <v>45943</v>
      </c>
      <c r="C377" s="4" t="s">
        <v>68</v>
      </c>
      <c r="D377" s="4" t="s">
        <v>69</v>
      </c>
      <c r="E377" s="4" t="s">
        <v>84</v>
      </c>
      <c r="F377" s="4" t="s">
        <v>85</v>
      </c>
      <c r="G377" s="4" t="s">
        <v>106</v>
      </c>
      <c r="H377" s="4">
        <v>2</v>
      </c>
      <c r="I377" s="6">
        <v>900</v>
      </c>
      <c r="J377" s="7">
        <v>0.1</v>
      </c>
      <c r="K377" s="6">
        <v>1620</v>
      </c>
      <c r="L377" s="6">
        <v>1160.708158737677</v>
      </c>
      <c r="M377" s="6">
        <v>459.29184126232258</v>
      </c>
      <c r="N377" s="4" t="s">
        <v>65</v>
      </c>
      <c r="O377" s="4" t="s">
        <v>80</v>
      </c>
    </row>
    <row r="378" spans="1:15" x14ac:dyDescent="0.25">
      <c r="A378" s="4" t="s">
        <v>475</v>
      </c>
      <c r="B378" s="5">
        <v>45890</v>
      </c>
      <c r="C378" s="4" t="s">
        <v>61</v>
      </c>
      <c r="D378" s="4" t="s">
        <v>100</v>
      </c>
      <c r="E378" s="4" t="s">
        <v>101</v>
      </c>
      <c r="F378" s="4" t="s">
        <v>85</v>
      </c>
      <c r="G378" s="4" t="s">
        <v>116</v>
      </c>
      <c r="H378" s="4">
        <v>6</v>
      </c>
      <c r="I378" s="6">
        <v>3000</v>
      </c>
      <c r="J378" s="7">
        <v>0</v>
      </c>
      <c r="K378" s="6">
        <v>18000</v>
      </c>
      <c r="L378" s="6">
        <v>13280.677162430289</v>
      </c>
      <c r="M378" s="6">
        <v>4719.3228375697054</v>
      </c>
      <c r="N378" s="4" t="s">
        <v>54</v>
      </c>
      <c r="O378" s="4" t="s">
        <v>55</v>
      </c>
    </row>
    <row r="379" spans="1:15" x14ac:dyDescent="0.25">
      <c r="A379" s="4" t="s">
        <v>476</v>
      </c>
      <c r="B379" s="5">
        <v>45839</v>
      </c>
      <c r="C379" s="4" t="s">
        <v>68</v>
      </c>
      <c r="D379" s="4" t="s">
        <v>108</v>
      </c>
      <c r="E379" s="4" t="s">
        <v>63</v>
      </c>
      <c r="F379" s="4" t="s">
        <v>85</v>
      </c>
      <c r="G379" s="4" t="s">
        <v>106</v>
      </c>
      <c r="H379" s="4">
        <v>2</v>
      </c>
      <c r="I379" s="6">
        <v>900</v>
      </c>
      <c r="J379" s="7">
        <v>0</v>
      </c>
      <c r="K379" s="6">
        <v>1800</v>
      </c>
      <c r="L379" s="6">
        <v>990.90953638644407</v>
      </c>
      <c r="M379" s="6">
        <v>809.09046361355593</v>
      </c>
      <c r="N379" s="4" t="s">
        <v>54</v>
      </c>
      <c r="O379" s="4" t="s">
        <v>80</v>
      </c>
    </row>
    <row r="380" spans="1:15" x14ac:dyDescent="0.25">
      <c r="A380" s="4" t="s">
        <v>477</v>
      </c>
      <c r="B380" s="5">
        <v>45970</v>
      </c>
      <c r="C380" s="4" t="s">
        <v>49</v>
      </c>
      <c r="D380" s="4" t="s">
        <v>50</v>
      </c>
      <c r="E380" s="4" t="s">
        <v>57</v>
      </c>
      <c r="F380" s="4" t="s">
        <v>77</v>
      </c>
      <c r="G380" s="4" t="s">
        <v>119</v>
      </c>
      <c r="H380" s="4">
        <v>3</v>
      </c>
      <c r="I380" s="6">
        <v>8000</v>
      </c>
      <c r="J380" s="7">
        <v>0.1</v>
      </c>
      <c r="K380" s="6">
        <v>21600</v>
      </c>
      <c r="L380" s="6">
        <v>13790.427510467751</v>
      </c>
      <c r="M380" s="6">
        <v>7809.5724895322528</v>
      </c>
      <c r="N380" s="4" t="s">
        <v>65</v>
      </c>
      <c r="O380" s="4" t="s">
        <v>74</v>
      </c>
    </row>
    <row r="381" spans="1:15" x14ac:dyDescent="0.25">
      <c r="A381" s="4" t="s">
        <v>478</v>
      </c>
      <c r="B381" s="5">
        <v>45870</v>
      </c>
      <c r="C381" s="4" t="s">
        <v>90</v>
      </c>
      <c r="D381" s="4" t="s">
        <v>114</v>
      </c>
      <c r="E381" s="4" t="s">
        <v>84</v>
      </c>
      <c r="F381" s="4" t="s">
        <v>85</v>
      </c>
      <c r="G381" s="4" t="s">
        <v>92</v>
      </c>
      <c r="H381" s="4">
        <v>12</v>
      </c>
      <c r="I381" s="6">
        <v>2200</v>
      </c>
      <c r="J381" s="7">
        <v>0.05</v>
      </c>
      <c r="K381" s="6">
        <v>25080</v>
      </c>
      <c r="L381" s="6">
        <v>15174.35361752965</v>
      </c>
      <c r="M381" s="6">
        <v>9905.6463824703478</v>
      </c>
      <c r="N381" s="4" t="s">
        <v>54</v>
      </c>
      <c r="O381" s="4" t="s">
        <v>74</v>
      </c>
    </row>
    <row r="382" spans="1:15" x14ac:dyDescent="0.25">
      <c r="A382" s="4" t="s">
        <v>479</v>
      </c>
      <c r="B382" s="5">
        <v>45941</v>
      </c>
      <c r="C382" s="4" t="s">
        <v>90</v>
      </c>
      <c r="D382" s="4" t="s">
        <v>94</v>
      </c>
      <c r="E382" s="4" t="s">
        <v>123</v>
      </c>
      <c r="F382" s="4" t="s">
        <v>77</v>
      </c>
      <c r="G382" s="4" t="s">
        <v>119</v>
      </c>
      <c r="H382" s="4">
        <v>1</v>
      </c>
      <c r="I382" s="6">
        <v>8000</v>
      </c>
      <c r="J382" s="7">
        <v>0.15</v>
      </c>
      <c r="K382" s="6">
        <v>6800</v>
      </c>
      <c r="L382" s="6">
        <v>5754.6336317760624</v>
      </c>
      <c r="M382" s="6">
        <v>1045.366368223938</v>
      </c>
      <c r="N382" s="4" t="s">
        <v>54</v>
      </c>
      <c r="O382" s="4" t="s">
        <v>55</v>
      </c>
    </row>
    <row r="383" spans="1:15" x14ac:dyDescent="0.25">
      <c r="A383" s="4" t="s">
        <v>480</v>
      </c>
      <c r="B383" s="5">
        <v>45968</v>
      </c>
      <c r="C383" s="4" t="s">
        <v>61</v>
      </c>
      <c r="D383" s="4" t="s">
        <v>100</v>
      </c>
      <c r="E383" s="4" t="s">
        <v>101</v>
      </c>
      <c r="F383" s="4" t="s">
        <v>77</v>
      </c>
      <c r="G383" s="4" t="s">
        <v>95</v>
      </c>
      <c r="H383" s="4">
        <v>2</v>
      </c>
      <c r="I383" s="6">
        <v>11000</v>
      </c>
      <c r="J383" s="7">
        <v>0.1</v>
      </c>
      <c r="K383" s="6">
        <v>19800</v>
      </c>
      <c r="L383" s="6">
        <v>15427.06036432656</v>
      </c>
      <c r="M383" s="6">
        <v>4372.9396356734414</v>
      </c>
      <c r="N383" s="4" t="s">
        <v>54</v>
      </c>
      <c r="O383" s="4" t="s">
        <v>55</v>
      </c>
    </row>
    <row r="384" spans="1:15" x14ac:dyDescent="0.25">
      <c r="A384" s="4" t="s">
        <v>481</v>
      </c>
      <c r="B384" s="5">
        <v>45889</v>
      </c>
      <c r="C384" s="4" t="s">
        <v>90</v>
      </c>
      <c r="D384" s="4" t="s">
        <v>91</v>
      </c>
      <c r="E384" s="4" t="s">
        <v>131</v>
      </c>
      <c r="F384" s="4" t="s">
        <v>77</v>
      </c>
      <c r="G384" s="4" t="s">
        <v>78</v>
      </c>
      <c r="H384" s="4">
        <v>7</v>
      </c>
      <c r="I384" s="6">
        <v>6500</v>
      </c>
      <c r="J384" s="7">
        <v>0.05</v>
      </c>
      <c r="K384" s="6">
        <v>43225</v>
      </c>
      <c r="L384" s="6">
        <v>35181.195116330127</v>
      </c>
      <c r="M384" s="6">
        <v>8043.8048836698654</v>
      </c>
      <c r="N384" s="4" t="s">
        <v>65</v>
      </c>
      <c r="O384" s="4" t="s">
        <v>55</v>
      </c>
    </row>
    <row r="385" spans="1:15" x14ac:dyDescent="0.25">
      <c r="A385" s="4" t="s">
        <v>482</v>
      </c>
      <c r="B385" s="5">
        <v>45806</v>
      </c>
      <c r="C385" s="4" t="s">
        <v>68</v>
      </c>
      <c r="D385" s="4" t="s">
        <v>108</v>
      </c>
      <c r="E385" s="4" t="s">
        <v>101</v>
      </c>
      <c r="F385" s="4" t="s">
        <v>52</v>
      </c>
      <c r="G385" s="4" t="s">
        <v>53</v>
      </c>
      <c r="H385" s="4">
        <v>4</v>
      </c>
      <c r="I385" s="6">
        <v>250</v>
      </c>
      <c r="J385" s="7">
        <v>0</v>
      </c>
      <c r="K385" s="6">
        <v>1000</v>
      </c>
      <c r="L385" s="6">
        <v>693.55854551723928</v>
      </c>
      <c r="M385" s="6">
        <v>306.44145448276072</v>
      </c>
      <c r="N385" s="4" t="s">
        <v>54</v>
      </c>
      <c r="O385" s="4" t="s">
        <v>66</v>
      </c>
    </row>
    <row r="386" spans="1:15" x14ac:dyDescent="0.25">
      <c r="A386" s="4" t="s">
        <v>483</v>
      </c>
      <c r="B386" s="5">
        <v>45956</v>
      </c>
      <c r="C386" s="4" t="s">
        <v>61</v>
      </c>
      <c r="D386" s="4" t="s">
        <v>100</v>
      </c>
      <c r="E386" s="4" t="s">
        <v>123</v>
      </c>
      <c r="F386" s="4" t="s">
        <v>52</v>
      </c>
      <c r="G386" s="4" t="s">
        <v>64</v>
      </c>
      <c r="H386" s="4">
        <v>13</v>
      </c>
      <c r="I386" s="6">
        <v>120</v>
      </c>
      <c r="J386" s="7">
        <v>0.05</v>
      </c>
      <c r="K386" s="6">
        <v>1482</v>
      </c>
      <c r="L386" s="6">
        <v>1059.746139868771</v>
      </c>
      <c r="M386" s="6">
        <v>422.25386013122852</v>
      </c>
      <c r="N386" s="4" t="s">
        <v>54</v>
      </c>
      <c r="O386" s="4" t="s">
        <v>80</v>
      </c>
    </row>
    <row r="387" spans="1:15" x14ac:dyDescent="0.25">
      <c r="A387" s="4" t="s">
        <v>484</v>
      </c>
      <c r="B387" s="5">
        <v>45686</v>
      </c>
      <c r="C387" s="4" t="s">
        <v>90</v>
      </c>
      <c r="D387" s="4" t="s">
        <v>114</v>
      </c>
      <c r="E387" s="4" t="s">
        <v>57</v>
      </c>
      <c r="F387" s="4" t="s">
        <v>58</v>
      </c>
      <c r="G387" s="4" t="s">
        <v>103</v>
      </c>
      <c r="H387" s="4">
        <v>7</v>
      </c>
      <c r="I387" s="6">
        <v>55000</v>
      </c>
      <c r="J387" s="7">
        <v>0</v>
      </c>
      <c r="K387" s="6">
        <v>385000</v>
      </c>
      <c r="L387" s="6">
        <v>216448.90570641309</v>
      </c>
      <c r="M387" s="6">
        <v>168551.09429358691</v>
      </c>
      <c r="N387" s="4" t="s">
        <v>79</v>
      </c>
      <c r="O387" s="4" t="s">
        <v>66</v>
      </c>
    </row>
    <row r="388" spans="1:15" x14ac:dyDescent="0.25">
      <c r="A388" s="4" t="s">
        <v>485</v>
      </c>
      <c r="B388" s="5">
        <v>45809</v>
      </c>
      <c r="C388" s="4" t="s">
        <v>68</v>
      </c>
      <c r="D388" s="4" t="s">
        <v>108</v>
      </c>
      <c r="E388" s="4" t="s">
        <v>57</v>
      </c>
      <c r="F388" s="4" t="s">
        <v>52</v>
      </c>
      <c r="G388" s="4" t="s">
        <v>53</v>
      </c>
      <c r="H388" s="4">
        <v>14</v>
      </c>
      <c r="I388" s="6">
        <v>250</v>
      </c>
      <c r="J388" s="7">
        <v>0</v>
      </c>
      <c r="K388" s="6">
        <v>3500</v>
      </c>
      <c r="L388" s="6">
        <v>2480.9288545430281</v>
      </c>
      <c r="M388" s="6">
        <v>1019.071145456972</v>
      </c>
      <c r="N388" s="4" t="s">
        <v>54</v>
      </c>
      <c r="O388" s="4" t="s">
        <v>74</v>
      </c>
    </row>
    <row r="389" spans="1:15" x14ac:dyDescent="0.25">
      <c r="A389" s="4" t="s">
        <v>486</v>
      </c>
      <c r="B389" s="5">
        <v>45919</v>
      </c>
      <c r="C389" s="4" t="s">
        <v>68</v>
      </c>
      <c r="D389" s="4" t="s">
        <v>88</v>
      </c>
      <c r="E389" s="4" t="s">
        <v>63</v>
      </c>
      <c r="F389" s="4" t="s">
        <v>58</v>
      </c>
      <c r="G389" s="4" t="s">
        <v>59</v>
      </c>
      <c r="H389" s="4">
        <v>12</v>
      </c>
      <c r="I389" s="6">
        <v>12000</v>
      </c>
      <c r="J389" s="7">
        <v>0.15</v>
      </c>
      <c r="K389" s="6">
        <v>122400</v>
      </c>
      <c r="L389" s="6">
        <v>92079.926249006123</v>
      </c>
      <c r="M389" s="6">
        <v>30320.073750993881</v>
      </c>
      <c r="N389" s="4" t="s">
        <v>54</v>
      </c>
      <c r="O389" s="4" t="s">
        <v>74</v>
      </c>
    </row>
    <row r="390" spans="1:15" x14ac:dyDescent="0.25">
      <c r="A390" s="4" t="s">
        <v>487</v>
      </c>
      <c r="B390" s="5">
        <v>45786</v>
      </c>
      <c r="C390" s="4" t="s">
        <v>90</v>
      </c>
      <c r="D390" s="4" t="s">
        <v>94</v>
      </c>
      <c r="E390" s="4" t="s">
        <v>57</v>
      </c>
      <c r="F390" s="4" t="s">
        <v>85</v>
      </c>
      <c r="G390" s="4" t="s">
        <v>116</v>
      </c>
      <c r="H390" s="4">
        <v>9</v>
      </c>
      <c r="I390" s="6">
        <v>3000</v>
      </c>
      <c r="J390" s="7">
        <v>0</v>
      </c>
      <c r="K390" s="6">
        <v>27000</v>
      </c>
      <c r="L390" s="6">
        <v>14930.514125959509</v>
      </c>
      <c r="M390" s="6">
        <v>12069.485874040491</v>
      </c>
      <c r="N390" s="4" t="s">
        <v>54</v>
      </c>
      <c r="O390" s="4" t="s">
        <v>55</v>
      </c>
    </row>
    <row r="391" spans="1:15" x14ac:dyDescent="0.25">
      <c r="A391" s="4" t="s">
        <v>488</v>
      </c>
      <c r="B391" s="5">
        <v>45748</v>
      </c>
      <c r="C391" s="4" t="s">
        <v>61</v>
      </c>
      <c r="D391" s="4" t="s">
        <v>100</v>
      </c>
      <c r="E391" s="4" t="s">
        <v>51</v>
      </c>
      <c r="F391" s="4" t="s">
        <v>52</v>
      </c>
      <c r="G391" s="4" t="s">
        <v>53</v>
      </c>
      <c r="H391" s="4">
        <v>13</v>
      </c>
      <c r="I391" s="6">
        <v>250</v>
      </c>
      <c r="J391" s="7">
        <v>0</v>
      </c>
      <c r="K391" s="6">
        <v>3250</v>
      </c>
      <c r="L391" s="6">
        <v>2007.3978470488571</v>
      </c>
      <c r="M391" s="6">
        <v>1242.6021529511429</v>
      </c>
      <c r="N391" s="4" t="s">
        <v>65</v>
      </c>
      <c r="O391" s="4" t="s">
        <v>66</v>
      </c>
    </row>
    <row r="392" spans="1:15" x14ac:dyDescent="0.25">
      <c r="A392" s="4" t="s">
        <v>489</v>
      </c>
      <c r="B392" s="5">
        <v>45740</v>
      </c>
      <c r="C392" s="4" t="s">
        <v>49</v>
      </c>
      <c r="D392" s="4" t="s">
        <v>72</v>
      </c>
      <c r="E392" s="4" t="s">
        <v>63</v>
      </c>
      <c r="F392" s="4" t="s">
        <v>58</v>
      </c>
      <c r="G392" s="4" t="s">
        <v>70</v>
      </c>
      <c r="H392" s="4">
        <v>5</v>
      </c>
      <c r="I392" s="6">
        <v>9000</v>
      </c>
      <c r="J392" s="7">
        <v>0.15</v>
      </c>
      <c r="K392" s="6">
        <v>38250</v>
      </c>
      <c r="L392" s="6">
        <v>27484.87981145224</v>
      </c>
      <c r="M392" s="6">
        <v>10765.12018854776</v>
      </c>
      <c r="N392" s="4" t="s">
        <v>65</v>
      </c>
      <c r="O392" s="4" t="s">
        <v>80</v>
      </c>
    </row>
    <row r="393" spans="1:15" x14ac:dyDescent="0.25">
      <c r="A393" s="4" t="s">
        <v>490</v>
      </c>
      <c r="B393" s="5">
        <v>45978</v>
      </c>
      <c r="C393" s="4" t="s">
        <v>90</v>
      </c>
      <c r="D393" s="4" t="s">
        <v>91</v>
      </c>
      <c r="E393" s="4" t="s">
        <v>63</v>
      </c>
      <c r="F393" s="4" t="s">
        <v>77</v>
      </c>
      <c r="G393" s="4" t="s">
        <v>158</v>
      </c>
      <c r="H393" s="4">
        <v>3</v>
      </c>
      <c r="I393" s="6">
        <v>7000</v>
      </c>
      <c r="J393" s="7">
        <v>0.05</v>
      </c>
      <c r="K393" s="6">
        <v>19950</v>
      </c>
      <c r="L393" s="6">
        <v>14432.932003629439</v>
      </c>
      <c r="M393" s="6">
        <v>5517.0679963705552</v>
      </c>
      <c r="N393" s="4" t="s">
        <v>79</v>
      </c>
      <c r="O393" s="4" t="s">
        <v>80</v>
      </c>
    </row>
    <row r="394" spans="1:15" x14ac:dyDescent="0.25">
      <c r="A394" s="4" t="s">
        <v>491</v>
      </c>
      <c r="B394" s="5">
        <v>45916</v>
      </c>
      <c r="C394" s="4" t="s">
        <v>49</v>
      </c>
      <c r="D394" s="4" t="s">
        <v>76</v>
      </c>
      <c r="E394" s="4" t="s">
        <v>131</v>
      </c>
      <c r="F394" s="4" t="s">
        <v>52</v>
      </c>
      <c r="G394" s="4" t="s">
        <v>53</v>
      </c>
      <c r="H394" s="4">
        <v>3</v>
      </c>
      <c r="I394" s="6">
        <v>250</v>
      </c>
      <c r="J394" s="7">
        <v>0.15</v>
      </c>
      <c r="K394" s="6">
        <v>637.5</v>
      </c>
      <c r="L394" s="6">
        <v>424.26044092051347</v>
      </c>
      <c r="M394" s="6">
        <v>213.2395590794865</v>
      </c>
      <c r="N394" s="4" t="s">
        <v>79</v>
      </c>
      <c r="O394" s="4" t="s">
        <v>55</v>
      </c>
    </row>
    <row r="395" spans="1:15" x14ac:dyDescent="0.25">
      <c r="A395" s="4" t="s">
        <v>492</v>
      </c>
      <c r="B395" s="5">
        <v>45808</v>
      </c>
      <c r="C395" s="4" t="s">
        <v>49</v>
      </c>
      <c r="D395" s="4" t="s">
        <v>72</v>
      </c>
      <c r="E395" s="4" t="s">
        <v>57</v>
      </c>
      <c r="F395" s="4" t="s">
        <v>77</v>
      </c>
      <c r="G395" s="4" t="s">
        <v>95</v>
      </c>
      <c r="H395" s="4">
        <v>11</v>
      </c>
      <c r="I395" s="6">
        <v>11000</v>
      </c>
      <c r="J395" s="7">
        <v>0.05</v>
      </c>
      <c r="K395" s="6">
        <v>114950</v>
      </c>
      <c r="L395" s="6">
        <v>75763.581713892549</v>
      </c>
      <c r="M395" s="6">
        <v>39186.418286107451</v>
      </c>
      <c r="N395" s="4" t="s">
        <v>54</v>
      </c>
      <c r="O395" s="4" t="s">
        <v>55</v>
      </c>
    </row>
    <row r="396" spans="1:15" x14ac:dyDescent="0.25">
      <c r="A396" s="4" t="s">
        <v>493</v>
      </c>
      <c r="B396" s="5">
        <v>45782</v>
      </c>
      <c r="C396" s="4" t="s">
        <v>49</v>
      </c>
      <c r="D396" s="4" t="s">
        <v>50</v>
      </c>
      <c r="E396" s="4" t="s">
        <v>84</v>
      </c>
      <c r="F396" s="4" t="s">
        <v>52</v>
      </c>
      <c r="G396" s="4" t="s">
        <v>110</v>
      </c>
      <c r="H396" s="4">
        <v>4</v>
      </c>
      <c r="I396" s="6">
        <v>180</v>
      </c>
      <c r="J396" s="7">
        <v>0.15</v>
      </c>
      <c r="K396" s="6">
        <v>612</v>
      </c>
      <c r="L396" s="6">
        <v>548.12136874541204</v>
      </c>
      <c r="M396" s="6">
        <v>63.878631254587958</v>
      </c>
      <c r="N396" s="4" t="s">
        <v>54</v>
      </c>
      <c r="O396" s="4" t="s">
        <v>80</v>
      </c>
    </row>
    <row r="397" spans="1:15" x14ac:dyDescent="0.25">
      <c r="A397" s="4" t="s">
        <v>494</v>
      </c>
      <c r="B397" s="5">
        <v>45922</v>
      </c>
      <c r="C397" s="4" t="s">
        <v>90</v>
      </c>
      <c r="D397" s="4" t="s">
        <v>114</v>
      </c>
      <c r="E397" s="4" t="s">
        <v>101</v>
      </c>
      <c r="F397" s="4" t="s">
        <v>85</v>
      </c>
      <c r="G397" s="4" t="s">
        <v>116</v>
      </c>
      <c r="H397" s="4">
        <v>9</v>
      </c>
      <c r="I397" s="6">
        <v>3000</v>
      </c>
      <c r="J397" s="7">
        <v>0.05</v>
      </c>
      <c r="K397" s="6">
        <v>25650</v>
      </c>
      <c r="L397" s="6">
        <v>15003.422581548961</v>
      </c>
      <c r="M397" s="6">
        <v>10646.577418451039</v>
      </c>
      <c r="N397" s="4" t="s">
        <v>54</v>
      </c>
      <c r="O397" s="4" t="s">
        <v>55</v>
      </c>
    </row>
    <row r="398" spans="1:15" x14ac:dyDescent="0.25">
      <c r="A398" s="4" t="s">
        <v>495</v>
      </c>
      <c r="B398" s="5">
        <v>45707</v>
      </c>
      <c r="C398" s="4" t="s">
        <v>90</v>
      </c>
      <c r="D398" s="4" t="s">
        <v>114</v>
      </c>
      <c r="E398" s="4" t="s">
        <v>131</v>
      </c>
      <c r="F398" s="4" t="s">
        <v>52</v>
      </c>
      <c r="G398" s="4" t="s">
        <v>53</v>
      </c>
      <c r="H398" s="4">
        <v>6</v>
      </c>
      <c r="I398" s="6">
        <v>250</v>
      </c>
      <c r="J398" s="7">
        <v>0.15</v>
      </c>
      <c r="K398" s="6">
        <v>1275</v>
      </c>
      <c r="L398" s="6">
        <v>853.40917957673287</v>
      </c>
      <c r="M398" s="6">
        <v>421.59082042326708</v>
      </c>
      <c r="N398" s="4" t="s">
        <v>54</v>
      </c>
      <c r="O398" s="4" t="s">
        <v>74</v>
      </c>
    </row>
    <row r="399" spans="1:15" x14ac:dyDescent="0.25">
      <c r="A399" s="4" t="s">
        <v>496</v>
      </c>
      <c r="B399" s="5">
        <v>46017</v>
      </c>
      <c r="C399" s="4" t="s">
        <v>49</v>
      </c>
      <c r="D399" s="4" t="s">
        <v>50</v>
      </c>
      <c r="E399" s="4" t="s">
        <v>123</v>
      </c>
      <c r="F399" s="4" t="s">
        <v>77</v>
      </c>
      <c r="G399" s="4" t="s">
        <v>119</v>
      </c>
      <c r="H399" s="4">
        <v>14</v>
      </c>
      <c r="I399" s="6">
        <v>8000</v>
      </c>
      <c r="J399" s="7">
        <v>0</v>
      </c>
      <c r="K399" s="6">
        <v>112000</v>
      </c>
      <c r="L399" s="6">
        <v>66895.72967121414</v>
      </c>
      <c r="M399" s="6">
        <v>45104.27032878586</v>
      </c>
      <c r="N399" s="4" t="s">
        <v>54</v>
      </c>
      <c r="O399" s="4" t="s">
        <v>74</v>
      </c>
    </row>
    <row r="400" spans="1:15" x14ac:dyDescent="0.25">
      <c r="A400" s="4" t="s">
        <v>497</v>
      </c>
      <c r="B400" s="5">
        <v>45749</v>
      </c>
      <c r="C400" s="4" t="s">
        <v>61</v>
      </c>
      <c r="D400" s="4" t="s">
        <v>83</v>
      </c>
      <c r="E400" s="4" t="s">
        <v>63</v>
      </c>
      <c r="F400" s="4" t="s">
        <v>85</v>
      </c>
      <c r="G400" s="4" t="s">
        <v>116</v>
      </c>
      <c r="H400" s="4">
        <v>1</v>
      </c>
      <c r="I400" s="6">
        <v>3000</v>
      </c>
      <c r="J400" s="7">
        <v>0</v>
      </c>
      <c r="K400" s="6">
        <v>3000</v>
      </c>
      <c r="L400" s="6">
        <v>1700.541140120067</v>
      </c>
      <c r="M400" s="6">
        <v>1299.458859879933</v>
      </c>
      <c r="N400" s="4" t="s">
        <v>54</v>
      </c>
      <c r="O400" s="4" t="s">
        <v>74</v>
      </c>
    </row>
    <row r="401" spans="1:15" x14ac:dyDescent="0.25">
      <c r="A401" s="4" t="s">
        <v>498</v>
      </c>
      <c r="B401" s="5">
        <v>45666</v>
      </c>
      <c r="C401" s="4" t="s">
        <v>61</v>
      </c>
      <c r="D401" s="4" t="s">
        <v>62</v>
      </c>
      <c r="E401" s="4" t="s">
        <v>123</v>
      </c>
      <c r="F401" s="4" t="s">
        <v>85</v>
      </c>
      <c r="G401" s="4" t="s">
        <v>86</v>
      </c>
      <c r="H401" s="4">
        <v>8</v>
      </c>
      <c r="I401" s="6">
        <v>1200</v>
      </c>
      <c r="J401" s="7">
        <v>0.1</v>
      </c>
      <c r="K401" s="6">
        <v>8640</v>
      </c>
      <c r="L401" s="6">
        <v>6236.1192764835114</v>
      </c>
      <c r="M401" s="6">
        <v>2403.8807235164891</v>
      </c>
      <c r="N401" s="4" t="s">
        <v>54</v>
      </c>
      <c r="O401" s="4" t="s">
        <v>74</v>
      </c>
    </row>
    <row r="402" spans="1:15" x14ac:dyDescent="0.25">
      <c r="A402" s="4" t="s">
        <v>499</v>
      </c>
      <c r="B402" s="5">
        <v>45915</v>
      </c>
      <c r="C402" s="4" t="s">
        <v>49</v>
      </c>
      <c r="D402" s="4" t="s">
        <v>76</v>
      </c>
      <c r="E402" s="4" t="s">
        <v>51</v>
      </c>
      <c r="F402" s="4" t="s">
        <v>58</v>
      </c>
      <c r="G402" s="4" t="s">
        <v>103</v>
      </c>
      <c r="H402" s="4">
        <v>12</v>
      </c>
      <c r="I402" s="6">
        <v>55000</v>
      </c>
      <c r="J402" s="7">
        <v>0</v>
      </c>
      <c r="K402" s="6">
        <v>660000</v>
      </c>
      <c r="L402" s="6">
        <v>417298.88106195373</v>
      </c>
      <c r="M402" s="6">
        <v>242701.1189380463</v>
      </c>
      <c r="N402" s="4" t="s">
        <v>79</v>
      </c>
      <c r="O402" s="4" t="s">
        <v>80</v>
      </c>
    </row>
    <row r="403" spans="1:15" x14ac:dyDescent="0.25">
      <c r="A403" s="4" t="s">
        <v>500</v>
      </c>
      <c r="B403" s="5">
        <v>45931</v>
      </c>
      <c r="C403" s="4" t="s">
        <v>49</v>
      </c>
      <c r="D403" s="4" t="s">
        <v>72</v>
      </c>
      <c r="E403" s="4" t="s">
        <v>57</v>
      </c>
      <c r="F403" s="4" t="s">
        <v>85</v>
      </c>
      <c r="G403" s="4" t="s">
        <v>86</v>
      </c>
      <c r="H403" s="4">
        <v>7</v>
      </c>
      <c r="I403" s="6">
        <v>1200</v>
      </c>
      <c r="J403" s="7">
        <v>0</v>
      </c>
      <c r="K403" s="6">
        <v>8400</v>
      </c>
      <c r="L403" s="6">
        <v>5535.7441926748816</v>
      </c>
      <c r="M403" s="6">
        <v>2864.255807325118</v>
      </c>
      <c r="N403" s="4" t="s">
        <v>65</v>
      </c>
      <c r="O403" s="4" t="s">
        <v>55</v>
      </c>
    </row>
    <row r="404" spans="1:15" x14ac:dyDescent="0.25">
      <c r="A404" s="4" t="s">
        <v>501</v>
      </c>
      <c r="B404" s="5">
        <v>45663</v>
      </c>
      <c r="C404" s="4" t="s">
        <v>68</v>
      </c>
      <c r="D404" s="4" t="s">
        <v>108</v>
      </c>
      <c r="E404" s="4" t="s">
        <v>131</v>
      </c>
      <c r="F404" s="4" t="s">
        <v>77</v>
      </c>
      <c r="G404" s="4" t="s">
        <v>78</v>
      </c>
      <c r="H404" s="4">
        <v>11</v>
      </c>
      <c r="I404" s="6">
        <v>6500</v>
      </c>
      <c r="J404" s="7">
        <v>0.05</v>
      </c>
      <c r="K404" s="6">
        <v>67925</v>
      </c>
      <c r="L404" s="6">
        <v>55069.305669583038</v>
      </c>
      <c r="M404" s="6">
        <v>12855.69433041696</v>
      </c>
      <c r="N404" s="4" t="s">
        <v>65</v>
      </c>
      <c r="O404" s="4" t="s">
        <v>74</v>
      </c>
    </row>
    <row r="405" spans="1:15" x14ac:dyDescent="0.25">
      <c r="A405" s="4" t="s">
        <v>502</v>
      </c>
      <c r="B405" s="5">
        <v>45834</v>
      </c>
      <c r="C405" s="4" t="s">
        <v>49</v>
      </c>
      <c r="D405" s="4" t="s">
        <v>76</v>
      </c>
      <c r="E405" s="4" t="s">
        <v>57</v>
      </c>
      <c r="F405" s="4" t="s">
        <v>85</v>
      </c>
      <c r="G405" s="4" t="s">
        <v>106</v>
      </c>
      <c r="H405" s="4">
        <v>5</v>
      </c>
      <c r="I405" s="6">
        <v>900</v>
      </c>
      <c r="J405" s="7">
        <v>0</v>
      </c>
      <c r="K405" s="6">
        <v>4500</v>
      </c>
      <c r="L405" s="6">
        <v>3249.4869672684408</v>
      </c>
      <c r="M405" s="6">
        <v>1250.513032731559</v>
      </c>
      <c r="N405" s="4" t="s">
        <v>79</v>
      </c>
      <c r="O405" s="4" t="s">
        <v>66</v>
      </c>
    </row>
    <row r="406" spans="1:15" x14ac:dyDescent="0.25">
      <c r="A406" s="4" t="s">
        <v>503</v>
      </c>
      <c r="B406" s="5">
        <v>45948</v>
      </c>
      <c r="C406" s="4" t="s">
        <v>61</v>
      </c>
      <c r="D406" s="4" t="s">
        <v>83</v>
      </c>
      <c r="E406" s="4" t="s">
        <v>84</v>
      </c>
      <c r="F406" s="4" t="s">
        <v>77</v>
      </c>
      <c r="G406" s="4" t="s">
        <v>78</v>
      </c>
      <c r="H406" s="4">
        <v>4</v>
      </c>
      <c r="I406" s="6">
        <v>6500</v>
      </c>
      <c r="J406" s="7">
        <v>0</v>
      </c>
      <c r="K406" s="6">
        <v>26000</v>
      </c>
      <c r="L406" s="6">
        <v>15384.52074894643</v>
      </c>
      <c r="M406" s="6">
        <v>10615.47925105357</v>
      </c>
      <c r="N406" s="4" t="s">
        <v>54</v>
      </c>
      <c r="O406" s="4" t="s">
        <v>55</v>
      </c>
    </row>
    <row r="407" spans="1:15" x14ac:dyDescent="0.25">
      <c r="A407" s="4" t="s">
        <v>504</v>
      </c>
      <c r="B407" s="5">
        <v>45907</v>
      </c>
      <c r="C407" s="4" t="s">
        <v>49</v>
      </c>
      <c r="D407" s="4" t="s">
        <v>72</v>
      </c>
      <c r="E407" s="4" t="s">
        <v>101</v>
      </c>
      <c r="F407" s="4" t="s">
        <v>58</v>
      </c>
      <c r="G407" s="4" t="s">
        <v>73</v>
      </c>
      <c r="H407" s="4">
        <v>2</v>
      </c>
      <c r="I407" s="6">
        <v>1800</v>
      </c>
      <c r="J407" s="7">
        <v>0</v>
      </c>
      <c r="K407" s="6">
        <v>3600</v>
      </c>
      <c r="L407" s="6">
        <v>2580.7879050726679</v>
      </c>
      <c r="M407" s="6">
        <v>1019.212094927332</v>
      </c>
      <c r="N407" s="4" t="s">
        <v>79</v>
      </c>
      <c r="O407" s="4" t="s">
        <v>66</v>
      </c>
    </row>
    <row r="408" spans="1:15" x14ac:dyDescent="0.25">
      <c r="A408" s="4" t="s">
        <v>505</v>
      </c>
      <c r="B408" s="5">
        <v>45888</v>
      </c>
      <c r="C408" s="4" t="s">
        <v>61</v>
      </c>
      <c r="D408" s="4" t="s">
        <v>83</v>
      </c>
      <c r="E408" s="4" t="s">
        <v>101</v>
      </c>
      <c r="F408" s="4" t="s">
        <v>52</v>
      </c>
      <c r="G408" s="4" t="s">
        <v>64</v>
      </c>
      <c r="H408" s="4">
        <v>15</v>
      </c>
      <c r="I408" s="6">
        <v>120</v>
      </c>
      <c r="J408" s="7">
        <v>0</v>
      </c>
      <c r="K408" s="6">
        <v>1800</v>
      </c>
      <c r="L408" s="6">
        <v>1121.5633780147621</v>
      </c>
      <c r="M408" s="6">
        <v>678.43662198523771</v>
      </c>
      <c r="N408" s="4" t="s">
        <v>54</v>
      </c>
      <c r="O408" s="4" t="s">
        <v>80</v>
      </c>
    </row>
    <row r="409" spans="1:15" x14ac:dyDescent="0.25">
      <c r="A409" s="4" t="s">
        <v>506</v>
      </c>
      <c r="B409" s="5">
        <v>45784</v>
      </c>
      <c r="C409" s="4" t="s">
        <v>61</v>
      </c>
      <c r="D409" s="4" t="s">
        <v>100</v>
      </c>
      <c r="E409" s="4" t="s">
        <v>57</v>
      </c>
      <c r="F409" s="4" t="s">
        <v>52</v>
      </c>
      <c r="G409" s="4" t="s">
        <v>98</v>
      </c>
      <c r="H409" s="4">
        <v>7</v>
      </c>
      <c r="I409" s="6">
        <v>80</v>
      </c>
      <c r="J409" s="7">
        <v>0</v>
      </c>
      <c r="K409" s="6">
        <v>560</v>
      </c>
      <c r="L409" s="6">
        <v>308.62234648720971</v>
      </c>
      <c r="M409" s="6">
        <v>251.37765351279029</v>
      </c>
      <c r="N409" s="4" t="s">
        <v>54</v>
      </c>
      <c r="O409" s="4" t="s">
        <v>55</v>
      </c>
    </row>
    <row r="410" spans="1:15" x14ac:dyDescent="0.25">
      <c r="A410" s="4" t="s">
        <v>507</v>
      </c>
      <c r="B410" s="5">
        <v>45841</v>
      </c>
      <c r="C410" s="4" t="s">
        <v>68</v>
      </c>
      <c r="D410" s="4" t="s">
        <v>88</v>
      </c>
      <c r="E410" s="4" t="s">
        <v>63</v>
      </c>
      <c r="F410" s="4" t="s">
        <v>77</v>
      </c>
      <c r="G410" s="4" t="s">
        <v>78</v>
      </c>
      <c r="H410" s="4">
        <v>15</v>
      </c>
      <c r="I410" s="6">
        <v>6500</v>
      </c>
      <c r="J410" s="7">
        <v>0.1</v>
      </c>
      <c r="K410" s="6">
        <v>87750</v>
      </c>
      <c r="L410" s="6">
        <v>64004.37483349556</v>
      </c>
      <c r="M410" s="6">
        <v>23745.62516650444</v>
      </c>
      <c r="N410" s="4" t="s">
        <v>79</v>
      </c>
      <c r="O410" s="4" t="s">
        <v>74</v>
      </c>
    </row>
    <row r="411" spans="1:15" x14ac:dyDescent="0.25">
      <c r="A411" s="4" t="s">
        <v>508</v>
      </c>
      <c r="B411" s="5">
        <v>45758</v>
      </c>
      <c r="C411" s="4" t="s">
        <v>61</v>
      </c>
      <c r="D411" s="4" t="s">
        <v>100</v>
      </c>
      <c r="E411" s="4" t="s">
        <v>63</v>
      </c>
      <c r="F411" s="4" t="s">
        <v>58</v>
      </c>
      <c r="G411" s="4" t="s">
        <v>73</v>
      </c>
      <c r="H411" s="4">
        <v>14</v>
      </c>
      <c r="I411" s="6">
        <v>1800</v>
      </c>
      <c r="J411" s="7">
        <v>0</v>
      </c>
      <c r="K411" s="6">
        <v>25200</v>
      </c>
      <c r="L411" s="6">
        <v>19025.957637651489</v>
      </c>
      <c r="M411" s="6">
        <v>6174.0423623485112</v>
      </c>
      <c r="N411" s="4" t="s">
        <v>54</v>
      </c>
      <c r="O411" s="4" t="s">
        <v>74</v>
      </c>
    </row>
    <row r="412" spans="1:15" x14ac:dyDescent="0.25">
      <c r="A412" s="4" t="s">
        <v>509</v>
      </c>
      <c r="B412" s="5">
        <v>45676</v>
      </c>
      <c r="C412" s="4" t="s">
        <v>49</v>
      </c>
      <c r="D412" s="4" t="s">
        <v>50</v>
      </c>
      <c r="E412" s="4" t="s">
        <v>63</v>
      </c>
      <c r="F412" s="4" t="s">
        <v>58</v>
      </c>
      <c r="G412" s="4" t="s">
        <v>70</v>
      </c>
      <c r="H412" s="4">
        <v>13</v>
      </c>
      <c r="I412" s="6">
        <v>9000</v>
      </c>
      <c r="J412" s="7">
        <v>0.15</v>
      </c>
      <c r="K412" s="6">
        <v>99450</v>
      </c>
      <c r="L412" s="6">
        <v>70075.390065004147</v>
      </c>
      <c r="M412" s="6">
        <v>29374.609934995849</v>
      </c>
      <c r="N412" s="4" t="s">
        <v>54</v>
      </c>
      <c r="O412" s="4" t="s">
        <v>55</v>
      </c>
    </row>
    <row r="413" spans="1:15" x14ac:dyDescent="0.25">
      <c r="A413" s="4" t="s">
        <v>510</v>
      </c>
      <c r="B413" s="5">
        <v>45806</v>
      </c>
      <c r="C413" s="4" t="s">
        <v>61</v>
      </c>
      <c r="D413" s="4" t="s">
        <v>62</v>
      </c>
      <c r="E413" s="4" t="s">
        <v>131</v>
      </c>
      <c r="F413" s="4" t="s">
        <v>85</v>
      </c>
      <c r="G413" s="4" t="s">
        <v>92</v>
      </c>
      <c r="H413" s="4">
        <v>15</v>
      </c>
      <c r="I413" s="6">
        <v>2200</v>
      </c>
      <c r="J413" s="7">
        <v>0.15</v>
      </c>
      <c r="K413" s="6">
        <v>28050</v>
      </c>
      <c r="L413" s="6">
        <v>23715.191618545919</v>
      </c>
      <c r="M413" s="6">
        <v>4334.8083814540814</v>
      </c>
      <c r="N413" s="4" t="s">
        <v>79</v>
      </c>
      <c r="O413" s="4" t="s">
        <v>74</v>
      </c>
    </row>
    <row r="414" spans="1:15" x14ac:dyDescent="0.25">
      <c r="A414" s="4" t="s">
        <v>511</v>
      </c>
      <c r="B414" s="5">
        <v>45921</v>
      </c>
      <c r="C414" s="4" t="s">
        <v>90</v>
      </c>
      <c r="D414" s="4" t="s">
        <v>94</v>
      </c>
      <c r="E414" s="4" t="s">
        <v>131</v>
      </c>
      <c r="F414" s="4" t="s">
        <v>58</v>
      </c>
      <c r="G414" s="4" t="s">
        <v>59</v>
      </c>
      <c r="H414" s="4">
        <v>14</v>
      </c>
      <c r="I414" s="6">
        <v>12000</v>
      </c>
      <c r="J414" s="7">
        <v>0.15</v>
      </c>
      <c r="K414" s="6">
        <v>142800</v>
      </c>
      <c r="L414" s="6">
        <v>118836.0064203158</v>
      </c>
      <c r="M414" s="6">
        <v>23963.993579684229</v>
      </c>
      <c r="N414" s="4" t="s">
        <v>79</v>
      </c>
      <c r="O414" s="4" t="s">
        <v>66</v>
      </c>
    </row>
    <row r="415" spans="1:15" x14ac:dyDescent="0.25">
      <c r="A415" s="4" t="s">
        <v>512</v>
      </c>
      <c r="B415" s="5">
        <v>45907</v>
      </c>
      <c r="C415" s="4" t="s">
        <v>61</v>
      </c>
      <c r="D415" s="4" t="s">
        <v>100</v>
      </c>
      <c r="E415" s="4" t="s">
        <v>57</v>
      </c>
      <c r="F415" s="4" t="s">
        <v>77</v>
      </c>
      <c r="G415" s="4" t="s">
        <v>119</v>
      </c>
      <c r="H415" s="4">
        <v>6</v>
      </c>
      <c r="I415" s="6">
        <v>8000</v>
      </c>
      <c r="J415" s="7">
        <v>0</v>
      </c>
      <c r="K415" s="6">
        <v>48000</v>
      </c>
      <c r="L415" s="6">
        <v>28815.763054539671</v>
      </c>
      <c r="M415" s="6">
        <v>19184.236945460329</v>
      </c>
      <c r="N415" s="4" t="s">
        <v>65</v>
      </c>
      <c r="O415" s="4" t="s">
        <v>80</v>
      </c>
    </row>
    <row r="416" spans="1:15" x14ac:dyDescent="0.25">
      <c r="A416" s="4" t="s">
        <v>513</v>
      </c>
      <c r="B416" s="5">
        <v>45890</v>
      </c>
      <c r="C416" s="4" t="s">
        <v>68</v>
      </c>
      <c r="D416" s="4" t="s">
        <v>69</v>
      </c>
      <c r="E416" s="4" t="s">
        <v>84</v>
      </c>
      <c r="F416" s="4" t="s">
        <v>58</v>
      </c>
      <c r="G416" s="4" t="s">
        <v>59</v>
      </c>
      <c r="H416" s="4">
        <v>9</v>
      </c>
      <c r="I416" s="6">
        <v>12000</v>
      </c>
      <c r="J416" s="7">
        <v>0.05</v>
      </c>
      <c r="K416" s="6">
        <v>102600</v>
      </c>
      <c r="L416" s="6">
        <v>69040.232851108231</v>
      </c>
      <c r="M416" s="6">
        <v>33559.767148891769</v>
      </c>
      <c r="N416" s="4" t="s">
        <v>65</v>
      </c>
      <c r="O416" s="4" t="s">
        <v>80</v>
      </c>
    </row>
    <row r="417" spans="1:15" x14ac:dyDescent="0.25">
      <c r="A417" s="4" t="s">
        <v>514</v>
      </c>
      <c r="B417" s="5">
        <v>45850</v>
      </c>
      <c r="C417" s="4" t="s">
        <v>49</v>
      </c>
      <c r="D417" s="4" t="s">
        <v>76</v>
      </c>
      <c r="E417" s="4" t="s">
        <v>123</v>
      </c>
      <c r="F417" s="4" t="s">
        <v>52</v>
      </c>
      <c r="G417" s="4" t="s">
        <v>98</v>
      </c>
      <c r="H417" s="4">
        <v>10</v>
      </c>
      <c r="I417" s="6">
        <v>80</v>
      </c>
      <c r="J417" s="7">
        <v>0.15</v>
      </c>
      <c r="K417" s="6">
        <v>680</v>
      </c>
      <c r="L417" s="6">
        <v>544.90946793547539</v>
      </c>
      <c r="M417" s="6">
        <v>135.09053206452461</v>
      </c>
      <c r="N417" s="4" t="s">
        <v>79</v>
      </c>
      <c r="O417" s="4" t="s">
        <v>74</v>
      </c>
    </row>
    <row r="418" spans="1:15" x14ac:dyDescent="0.25">
      <c r="A418" s="4" t="s">
        <v>515</v>
      </c>
      <c r="B418" s="5">
        <v>45904</v>
      </c>
      <c r="C418" s="4" t="s">
        <v>68</v>
      </c>
      <c r="D418" s="4" t="s">
        <v>88</v>
      </c>
      <c r="E418" s="4" t="s">
        <v>84</v>
      </c>
      <c r="F418" s="4" t="s">
        <v>77</v>
      </c>
      <c r="G418" s="4" t="s">
        <v>119</v>
      </c>
      <c r="H418" s="4">
        <v>6</v>
      </c>
      <c r="I418" s="6">
        <v>8000</v>
      </c>
      <c r="J418" s="7">
        <v>0.05</v>
      </c>
      <c r="K418" s="6">
        <v>45600</v>
      </c>
      <c r="L418" s="6">
        <v>31774.9516519229</v>
      </c>
      <c r="M418" s="6">
        <v>13825.0483480771</v>
      </c>
      <c r="N418" s="4" t="s">
        <v>54</v>
      </c>
      <c r="O418" s="4" t="s">
        <v>66</v>
      </c>
    </row>
    <row r="419" spans="1:15" x14ac:dyDescent="0.25">
      <c r="A419" s="4" t="s">
        <v>516</v>
      </c>
      <c r="B419" s="5">
        <v>45753</v>
      </c>
      <c r="C419" s="4" t="s">
        <v>90</v>
      </c>
      <c r="D419" s="4" t="s">
        <v>114</v>
      </c>
      <c r="E419" s="4" t="s">
        <v>131</v>
      </c>
      <c r="F419" s="4" t="s">
        <v>77</v>
      </c>
      <c r="G419" s="4" t="s">
        <v>158</v>
      </c>
      <c r="H419" s="4">
        <v>9</v>
      </c>
      <c r="I419" s="6">
        <v>7000</v>
      </c>
      <c r="J419" s="7">
        <v>0.05</v>
      </c>
      <c r="K419" s="6">
        <v>59850</v>
      </c>
      <c r="L419" s="6">
        <v>37714.882838927093</v>
      </c>
      <c r="M419" s="6">
        <v>22135.117161072911</v>
      </c>
      <c r="N419" s="4" t="s">
        <v>79</v>
      </c>
      <c r="O419" s="4" t="s">
        <v>74</v>
      </c>
    </row>
    <row r="420" spans="1:15" x14ac:dyDescent="0.25">
      <c r="A420" s="4" t="s">
        <v>517</v>
      </c>
      <c r="B420" s="5">
        <v>45960</v>
      </c>
      <c r="C420" s="4" t="s">
        <v>61</v>
      </c>
      <c r="D420" s="4" t="s">
        <v>62</v>
      </c>
      <c r="E420" s="4" t="s">
        <v>131</v>
      </c>
      <c r="F420" s="4" t="s">
        <v>52</v>
      </c>
      <c r="G420" s="4" t="s">
        <v>64</v>
      </c>
      <c r="H420" s="4">
        <v>8</v>
      </c>
      <c r="I420" s="6">
        <v>120</v>
      </c>
      <c r="J420" s="7">
        <v>0.1</v>
      </c>
      <c r="K420" s="6">
        <v>864</v>
      </c>
      <c r="L420" s="6">
        <v>633.76787287088803</v>
      </c>
      <c r="M420" s="6">
        <v>230.232127129112</v>
      </c>
      <c r="N420" s="4" t="s">
        <v>54</v>
      </c>
      <c r="O420" s="4" t="s">
        <v>55</v>
      </c>
    </row>
    <row r="421" spans="1:15" x14ac:dyDescent="0.25">
      <c r="A421" s="4" t="s">
        <v>518</v>
      </c>
      <c r="B421" s="5">
        <v>45980</v>
      </c>
      <c r="C421" s="4" t="s">
        <v>49</v>
      </c>
      <c r="D421" s="4" t="s">
        <v>50</v>
      </c>
      <c r="E421" s="4" t="s">
        <v>84</v>
      </c>
      <c r="F421" s="4" t="s">
        <v>58</v>
      </c>
      <c r="G421" s="4" t="s">
        <v>59</v>
      </c>
      <c r="H421" s="4">
        <v>10</v>
      </c>
      <c r="I421" s="6">
        <v>12000</v>
      </c>
      <c r="J421" s="7">
        <v>0.15</v>
      </c>
      <c r="K421" s="6">
        <v>102000</v>
      </c>
      <c r="L421" s="6">
        <v>70447.164274144045</v>
      </c>
      <c r="M421" s="6">
        <v>31552.835725855959</v>
      </c>
      <c r="N421" s="4" t="s">
        <v>54</v>
      </c>
      <c r="O421" s="4" t="s">
        <v>66</v>
      </c>
    </row>
    <row r="422" spans="1:15" x14ac:dyDescent="0.25">
      <c r="A422" s="4" t="s">
        <v>519</v>
      </c>
      <c r="B422" s="5">
        <v>45946</v>
      </c>
      <c r="C422" s="4" t="s">
        <v>49</v>
      </c>
      <c r="D422" s="4" t="s">
        <v>50</v>
      </c>
      <c r="E422" s="4" t="s">
        <v>84</v>
      </c>
      <c r="F422" s="4" t="s">
        <v>52</v>
      </c>
      <c r="G422" s="4" t="s">
        <v>53</v>
      </c>
      <c r="H422" s="4">
        <v>9</v>
      </c>
      <c r="I422" s="6">
        <v>250</v>
      </c>
      <c r="J422" s="7">
        <v>0.1</v>
      </c>
      <c r="K422" s="6">
        <v>2025</v>
      </c>
      <c r="L422" s="6">
        <v>1547.667518046376</v>
      </c>
      <c r="M422" s="6">
        <v>477.33248195362398</v>
      </c>
      <c r="N422" s="4" t="s">
        <v>54</v>
      </c>
      <c r="O422" s="4" t="s">
        <v>80</v>
      </c>
    </row>
    <row r="423" spans="1:15" x14ac:dyDescent="0.25">
      <c r="A423" s="4" t="s">
        <v>520</v>
      </c>
      <c r="B423" s="5">
        <v>45868</v>
      </c>
      <c r="C423" s="4" t="s">
        <v>49</v>
      </c>
      <c r="D423" s="4" t="s">
        <v>50</v>
      </c>
      <c r="E423" s="4" t="s">
        <v>131</v>
      </c>
      <c r="F423" s="4" t="s">
        <v>85</v>
      </c>
      <c r="G423" s="4" t="s">
        <v>86</v>
      </c>
      <c r="H423" s="4">
        <v>14</v>
      </c>
      <c r="I423" s="6">
        <v>1200</v>
      </c>
      <c r="J423" s="7">
        <v>0.1</v>
      </c>
      <c r="K423" s="6">
        <v>15120</v>
      </c>
      <c r="L423" s="6">
        <v>9899.0700533361869</v>
      </c>
      <c r="M423" s="6">
        <v>5220.9299466638131</v>
      </c>
      <c r="N423" s="4" t="s">
        <v>54</v>
      </c>
      <c r="O423" s="4" t="s">
        <v>66</v>
      </c>
    </row>
    <row r="424" spans="1:15" x14ac:dyDescent="0.25">
      <c r="A424" s="4" t="s">
        <v>521</v>
      </c>
      <c r="B424" s="5">
        <v>45851</v>
      </c>
      <c r="C424" s="4" t="s">
        <v>68</v>
      </c>
      <c r="D424" s="4" t="s">
        <v>69</v>
      </c>
      <c r="E424" s="4" t="s">
        <v>123</v>
      </c>
      <c r="F424" s="4" t="s">
        <v>52</v>
      </c>
      <c r="G424" s="4" t="s">
        <v>110</v>
      </c>
      <c r="H424" s="4">
        <v>10</v>
      </c>
      <c r="I424" s="6">
        <v>180</v>
      </c>
      <c r="J424" s="7">
        <v>0.15</v>
      </c>
      <c r="K424" s="6">
        <v>1530</v>
      </c>
      <c r="L424" s="6">
        <v>1018.500959375075</v>
      </c>
      <c r="M424" s="6">
        <v>511.49904062492459</v>
      </c>
      <c r="N424" s="4" t="s">
        <v>65</v>
      </c>
      <c r="O424" s="4" t="s">
        <v>74</v>
      </c>
    </row>
    <row r="425" spans="1:15" x14ac:dyDescent="0.25">
      <c r="A425" s="4" t="s">
        <v>522</v>
      </c>
      <c r="B425" s="5">
        <v>45972</v>
      </c>
      <c r="C425" s="4" t="s">
        <v>49</v>
      </c>
      <c r="D425" s="4" t="s">
        <v>50</v>
      </c>
      <c r="E425" s="4" t="s">
        <v>84</v>
      </c>
      <c r="F425" s="4" t="s">
        <v>85</v>
      </c>
      <c r="G425" s="4" t="s">
        <v>92</v>
      </c>
      <c r="H425" s="4">
        <v>10</v>
      </c>
      <c r="I425" s="6">
        <v>2200</v>
      </c>
      <c r="J425" s="7">
        <v>0</v>
      </c>
      <c r="K425" s="6">
        <v>22000</v>
      </c>
      <c r="L425" s="6">
        <v>12997.75625264569</v>
      </c>
      <c r="M425" s="6">
        <v>9002.2437473543123</v>
      </c>
      <c r="N425" s="4" t="s">
        <v>54</v>
      </c>
      <c r="O425" s="4" t="s">
        <v>74</v>
      </c>
    </row>
    <row r="426" spans="1:15" x14ac:dyDescent="0.25">
      <c r="A426" s="4" t="s">
        <v>523</v>
      </c>
      <c r="B426" s="5">
        <v>45847</v>
      </c>
      <c r="C426" s="4" t="s">
        <v>49</v>
      </c>
      <c r="D426" s="4" t="s">
        <v>72</v>
      </c>
      <c r="E426" s="4" t="s">
        <v>84</v>
      </c>
      <c r="F426" s="4" t="s">
        <v>77</v>
      </c>
      <c r="G426" s="4" t="s">
        <v>158</v>
      </c>
      <c r="H426" s="4">
        <v>15</v>
      </c>
      <c r="I426" s="6">
        <v>7000</v>
      </c>
      <c r="J426" s="7">
        <v>0.1</v>
      </c>
      <c r="K426" s="6">
        <v>94500</v>
      </c>
      <c r="L426" s="6">
        <v>70357.368146326538</v>
      </c>
      <c r="M426" s="6">
        <v>24142.631853673462</v>
      </c>
      <c r="N426" s="4" t="s">
        <v>54</v>
      </c>
      <c r="O426" s="4" t="s">
        <v>55</v>
      </c>
    </row>
    <row r="427" spans="1:15" x14ac:dyDescent="0.25">
      <c r="A427" s="4" t="s">
        <v>524</v>
      </c>
      <c r="B427" s="5">
        <v>45726</v>
      </c>
      <c r="C427" s="4" t="s">
        <v>61</v>
      </c>
      <c r="D427" s="4" t="s">
        <v>62</v>
      </c>
      <c r="E427" s="4" t="s">
        <v>63</v>
      </c>
      <c r="F427" s="4" t="s">
        <v>85</v>
      </c>
      <c r="G427" s="4" t="s">
        <v>116</v>
      </c>
      <c r="H427" s="4">
        <v>10</v>
      </c>
      <c r="I427" s="6">
        <v>3000</v>
      </c>
      <c r="J427" s="7">
        <v>0.15</v>
      </c>
      <c r="K427" s="6">
        <v>25500</v>
      </c>
      <c r="L427" s="6">
        <v>17174.246667592801</v>
      </c>
      <c r="M427" s="6">
        <v>8325.7533324071992</v>
      </c>
      <c r="N427" s="4" t="s">
        <v>79</v>
      </c>
      <c r="O427" s="4" t="s">
        <v>66</v>
      </c>
    </row>
    <row r="428" spans="1:15" x14ac:dyDescent="0.25">
      <c r="A428" s="4" t="s">
        <v>525</v>
      </c>
      <c r="B428" s="5">
        <v>45661</v>
      </c>
      <c r="C428" s="4" t="s">
        <v>49</v>
      </c>
      <c r="D428" s="4" t="s">
        <v>72</v>
      </c>
      <c r="E428" s="4" t="s">
        <v>51</v>
      </c>
      <c r="F428" s="4" t="s">
        <v>85</v>
      </c>
      <c r="G428" s="4" t="s">
        <v>116</v>
      </c>
      <c r="H428" s="4">
        <v>4</v>
      </c>
      <c r="I428" s="6">
        <v>3000</v>
      </c>
      <c r="J428" s="7">
        <v>0</v>
      </c>
      <c r="K428" s="6">
        <v>12000</v>
      </c>
      <c r="L428" s="6">
        <v>8557.2507906888586</v>
      </c>
      <c r="M428" s="6">
        <v>3442.7492093111409</v>
      </c>
      <c r="N428" s="4" t="s">
        <v>54</v>
      </c>
      <c r="O428" s="4" t="s">
        <v>74</v>
      </c>
    </row>
    <row r="429" spans="1:15" x14ac:dyDescent="0.25">
      <c r="A429" s="4" t="s">
        <v>526</v>
      </c>
      <c r="B429" s="5">
        <v>45876</v>
      </c>
      <c r="C429" s="4" t="s">
        <v>90</v>
      </c>
      <c r="D429" s="4" t="s">
        <v>91</v>
      </c>
      <c r="E429" s="4" t="s">
        <v>63</v>
      </c>
      <c r="F429" s="4" t="s">
        <v>77</v>
      </c>
      <c r="G429" s="4" t="s">
        <v>78</v>
      </c>
      <c r="H429" s="4">
        <v>7</v>
      </c>
      <c r="I429" s="6">
        <v>6500</v>
      </c>
      <c r="J429" s="7">
        <v>0.05</v>
      </c>
      <c r="K429" s="6">
        <v>43225</v>
      </c>
      <c r="L429" s="6">
        <v>26140.393360143589</v>
      </c>
      <c r="M429" s="6">
        <v>17084.606639856411</v>
      </c>
      <c r="N429" s="4" t="s">
        <v>79</v>
      </c>
      <c r="O429" s="4" t="s">
        <v>55</v>
      </c>
    </row>
    <row r="430" spans="1:15" x14ac:dyDescent="0.25">
      <c r="A430" s="4" t="s">
        <v>527</v>
      </c>
      <c r="B430" s="5">
        <v>45943</v>
      </c>
      <c r="C430" s="4" t="s">
        <v>68</v>
      </c>
      <c r="D430" s="4" t="s">
        <v>108</v>
      </c>
      <c r="E430" s="4" t="s">
        <v>105</v>
      </c>
      <c r="F430" s="4" t="s">
        <v>52</v>
      </c>
      <c r="G430" s="4" t="s">
        <v>110</v>
      </c>
      <c r="H430" s="4">
        <v>13</v>
      </c>
      <c r="I430" s="6">
        <v>180</v>
      </c>
      <c r="J430" s="7">
        <v>0</v>
      </c>
      <c r="K430" s="6">
        <v>2340</v>
      </c>
      <c r="L430" s="6">
        <v>1509.3993947948729</v>
      </c>
      <c r="M430" s="6">
        <v>830.60060520512684</v>
      </c>
      <c r="N430" s="4" t="s">
        <v>65</v>
      </c>
      <c r="O430" s="4" t="s">
        <v>80</v>
      </c>
    </row>
    <row r="431" spans="1:15" x14ac:dyDescent="0.25">
      <c r="A431" s="4" t="s">
        <v>528</v>
      </c>
      <c r="B431" s="5">
        <v>45995</v>
      </c>
      <c r="C431" s="4" t="s">
        <v>90</v>
      </c>
      <c r="D431" s="4" t="s">
        <v>94</v>
      </c>
      <c r="E431" s="4" t="s">
        <v>51</v>
      </c>
      <c r="F431" s="4" t="s">
        <v>52</v>
      </c>
      <c r="G431" s="4" t="s">
        <v>98</v>
      </c>
      <c r="H431" s="4">
        <v>13</v>
      </c>
      <c r="I431" s="6">
        <v>80</v>
      </c>
      <c r="J431" s="7">
        <v>0.1</v>
      </c>
      <c r="K431" s="6">
        <v>936</v>
      </c>
      <c r="L431" s="6">
        <v>747.99915740062295</v>
      </c>
      <c r="M431" s="6">
        <v>188.00084259937711</v>
      </c>
      <c r="N431" s="4" t="s">
        <v>54</v>
      </c>
      <c r="O431" s="4" t="s">
        <v>66</v>
      </c>
    </row>
    <row r="432" spans="1:15" x14ac:dyDescent="0.25">
      <c r="A432" s="4" t="s">
        <v>529</v>
      </c>
      <c r="B432" s="5">
        <v>45831</v>
      </c>
      <c r="C432" s="4" t="s">
        <v>90</v>
      </c>
      <c r="D432" s="4" t="s">
        <v>91</v>
      </c>
      <c r="E432" s="4" t="s">
        <v>84</v>
      </c>
      <c r="F432" s="4" t="s">
        <v>77</v>
      </c>
      <c r="G432" s="4" t="s">
        <v>158</v>
      </c>
      <c r="H432" s="4">
        <v>4</v>
      </c>
      <c r="I432" s="6">
        <v>7000</v>
      </c>
      <c r="J432" s="7">
        <v>0.15</v>
      </c>
      <c r="K432" s="6">
        <v>23800</v>
      </c>
      <c r="L432" s="6">
        <v>17979.612237381662</v>
      </c>
      <c r="M432" s="6">
        <v>5820.3877626183421</v>
      </c>
      <c r="N432" s="4" t="s">
        <v>65</v>
      </c>
      <c r="O432" s="4" t="s">
        <v>55</v>
      </c>
    </row>
    <row r="433" spans="1:15" x14ac:dyDescent="0.25">
      <c r="A433" s="4" t="s">
        <v>530</v>
      </c>
      <c r="B433" s="5">
        <v>45690</v>
      </c>
      <c r="C433" s="4" t="s">
        <v>49</v>
      </c>
      <c r="D433" s="4" t="s">
        <v>50</v>
      </c>
      <c r="E433" s="4" t="s">
        <v>63</v>
      </c>
      <c r="F433" s="4" t="s">
        <v>77</v>
      </c>
      <c r="G433" s="4" t="s">
        <v>119</v>
      </c>
      <c r="H433" s="4">
        <v>15</v>
      </c>
      <c r="I433" s="6">
        <v>8000</v>
      </c>
      <c r="J433" s="7">
        <v>0.15</v>
      </c>
      <c r="K433" s="6">
        <v>102000</v>
      </c>
      <c r="L433" s="6">
        <v>78016.417193656293</v>
      </c>
      <c r="M433" s="6">
        <v>23983.582806343711</v>
      </c>
      <c r="N433" s="4" t="s">
        <v>65</v>
      </c>
      <c r="O433" s="4" t="s">
        <v>80</v>
      </c>
    </row>
    <row r="434" spans="1:15" x14ac:dyDescent="0.25">
      <c r="A434" s="4" t="s">
        <v>531</v>
      </c>
      <c r="B434" s="5">
        <v>45924</v>
      </c>
      <c r="C434" s="4" t="s">
        <v>49</v>
      </c>
      <c r="D434" s="4" t="s">
        <v>76</v>
      </c>
      <c r="E434" s="4" t="s">
        <v>63</v>
      </c>
      <c r="F434" s="4" t="s">
        <v>58</v>
      </c>
      <c r="G434" s="4" t="s">
        <v>70</v>
      </c>
      <c r="H434" s="4">
        <v>15</v>
      </c>
      <c r="I434" s="6">
        <v>9000</v>
      </c>
      <c r="J434" s="7">
        <v>0.1</v>
      </c>
      <c r="K434" s="6">
        <v>121500</v>
      </c>
      <c r="L434" s="6">
        <v>93313.631591753976</v>
      </c>
      <c r="M434" s="6">
        <v>28186.36840824602</v>
      </c>
      <c r="N434" s="4" t="s">
        <v>54</v>
      </c>
      <c r="O434" s="4" t="s">
        <v>74</v>
      </c>
    </row>
    <row r="435" spans="1:15" x14ac:dyDescent="0.25">
      <c r="A435" s="4" t="s">
        <v>532</v>
      </c>
      <c r="B435" s="5">
        <v>45923</v>
      </c>
      <c r="C435" s="4" t="s">
        <v>61</v>
      </c>
      <c r="D435" s="4" t="s">
        <v>100</v>
      </c>
      <c r="E435" s="4" t="s">
        <v>63</v>
      </c>
      <c r="F435" s="4" t="s">
        <v>85</v>
      </c>
      <c r="G435" s="4" t="s">
        <v>86</v>
      </c>
      <c r="H435" s="4">
        <v>1</v>
      </c>
      <c r="I435" s="6">
        <v>1200</v>
      </c>
      <c r="J435" s="7">
        <v>0</v>
      </c>
      <c r="K435" s="6">
        <v>1200</v>
      </c>
      <c r="L435" s="6">
        <v>894.75666762366927</v>
      </c>
      <c r="M435" s="6">
        <v>305.24333237633073</v>
      </c>
      <c r="N435" s="4" t="s">
        <v>65</v>
      </c>
      <c r="O435" s="4" t="s">
        <v>74</v>
      </c>
    </row>
    <row r="436" spans="1:15" x14ac:dyDescent="0.25">
      <c r="A436" s="4" t="s">
        <v>533</v>
      </c>
      <c r="B436" s="5">
        <v>45738</v>
      </c>
      <c r="C436" s="4" t="s">
        <v>61</v>
      </c>
      <c r="D436" s="4" t="s">
        <v>100</v>
      </c>
      <c r="E436" s="4" t="s">
        <v>51</v>
      </c>
      <c r="F436" s="4" t="s">
        <v>77</v>
      </c>
      <c r="G436" s="4" t="s">
        <v>158</v>
      </c>
      <c r="H436" s="4">
        <v>6</v>
      </c>
      <c r="I436" s="6">
        <v>7000</v>
      </c>
      <c r="J436" s="7">
        <v>0</v>
      </c>
      <c r="K436" s="6">
        <v>42000</v>
      </c>
      <c r="L436" s="6">
        <v>29427.48469324988</v>
      </c>
      <c r="M436" s="6">
        <v>12572.51530675012</v>
      </c>
      <c r="N436" s="4" t="s">
        <v>79</v>
      </c>
      <c r="O436" s="4" t="s">
        <v>55</v>
      </c>
    </row>
    <row r="437" spans="1:15" x14ac:dyDescent="0.25">
      <c r="A437" s="4" t="s">
        <v>534</v>
      </c>
      <c r="B437" s="5">
        <v>46018</v>
      </c>
      <c r="C437" s="4" t="s">
        <v>68</v>
      </c>
      <c r="D437" s="4" t="s">
        <v>108</v>
      </c>
      <c r="E437" s="4" t="s">
        <v>51</v>
      </c>
      <c r="F437" s="4" t="s">
        <v>85</v>
      </c>
      <c r="G437" s="4" t="s">
        <v>86</v>
      </c>
      <c r="H437" s="4">
        <v>10</v>
      </c>
      <c r="I437" s="6">
        <v>1200</v>
      </c>
      <c r="J437" s="7">
        <v>0</v>
      </c>
      <c r="K437" s="6">
        <v>12000</v>
      </c>
      <c r="L437" s="6">
        <v>8028.9698547304542</v>
      </c>
      <c r="M437" s="6">
        <v>3971.0301452695462</v>
      </c>
      <c r="N437" s="4" t="s">
        <v>65</v>
      </c>
      <c r="O437" s="4" t="s">
        <v>80</v>
      </c>
    </row>
    <row r="438" spans="1:15" x14ac:dyDescent="0.25">
      <c r="A438" s="4" t="s">
        <v>535</v>
      </c>
      <c r="B438" s="5">
        <v>45864</v>
      </c>
      <c r="C438" s="4" t="s">
        <v>68</v>
      </c>
      <c r="D438" s="4" t="s">
        <v>88</v>
      </c>
      <c r="E438" s="4" t="s">
        <v>84</v>
      </c>
      <c r="F438" s="4" t="s">
        <v>52</v>
      </c>
      <c r="G438" s="4" t="s">
        <v>53</v>
      </c>
      <c r="H438" s="4">
        <v>10</v>
      </c>
      <c r="I438" s="6">
        <v>250</v>
      </c>
      <c r="J438" s="7">
        <v>0</v>
      </c>
      <c r="K438" s="6">
        <v>2500</v>
      </c>
      <c r="L438" s="6">
        <v>1636.4864299787989</v>
      </c>
      <c r="M438" s="6">
        <v>863.5135700212013</v>
      </c>
      <c r="N438" s="4" t="s">
        <v>79</v>
      </c>
      <c r="O438" s="4" t="s">
        <v>66</v>
      </c>
    </row>
    <row r="439" spans="1:15" x14ac:dyDescent="0.25">
      <c r="A439" s="4" t="s">
        <v>536</v>
      </c>
      <c r="B439" s="5">
        <v>45717</v>
      </c>
      <c r="C439" s="4" t="s">
        <v>90</v>
      </c>
      <c r="D439" s="4" t="s">
        <v>91</v>
      </c>
      <c r="E439" s="4" t="s">
        <v>63</v>
      </c>
      <c r="F439" s="4" t="s">
        <v>58</v>
      </c>
      <c r="G439" s="4" t="s">
        <v>103</v>
      </c>
      <c r="H439" s="4">
        <v>9</v>
      </c>
      <c r="I439" s="6">
        <v>55000</v>
      </c>
      <c r="J439" s="7">
        <v>0.05</v>
      </c>
      <c r="K439" s="6">
        <v>470250</v>
      </c>
      <c r="L439" s="6">
        <v>310955.11708012008</v>
      </c>
      <c r="M439" s="6">
        <v>159294.88291987989</v>
      </c>
      <c r="N439" s="4" t="s">
        <v>54</v>
      </c>
      <c r="O439" s="4" t="s">
        <v>80</v>
      </c>
    </row>
    <row r="440" spans="1:15" x14ac:dyDescent="0.25">
      <c r="A440" s="4" t="s">
        <v>537</v>
      </c>
      <c r="B440" s="5">
        <v>45892</v>
      </c>
      <c r="C440" s="4" t="s">
        <v>90</v>
      </c>
      <c r="D440" s="4" t="s">
        <v>94</v>
      </c>
      <c r="E440" s="4" t="s">
        <v>105</v>
      </c>
      <c r="F440" s="4" t="s">
        <v>85</v>
      </c>
      <c r="G440" s="4" t="s">
        <v>92</v>
      </c>
      <c r="H440" s="4">
        <v>13</v>
      </c>
      <c r="I440" s="6">
        <v>2200</v>
      </c>
      <c r="J440" s="7">
        <v>0.05</v>
      </c>
      <c r="K440" s="6">
        <v>27170</v>
      </c>
      <c r="L440" s="6">
        <v>22053.028335034021</v>
      </c>
      <c r="M440" s="6">
        <v>5116.9716649659786</v>
      </c>
      <c r="N440" s="4" t="s">
        <v>54</v>
      </c>
      <c r="O440" s="4" t="s">
        <v>74</v>
      </c>
    </row>
    <row r="441" spans="1:15" x14ac:dyDescent="0.25">
      <c r="A441" s="4" t="s">
        <v>538</v>
      </c>
      <c r="B441" s="5">
        <v>45775</v>
      </c>
      <c r="C441" s="4" t="s">
        <v>90</v>
      </c>
      <c r="D441" s="4" t="s">
        <v>114</v>
      </c>
      <c r="E441" s="4" t="s">
        <v>101</v>
      </c>
      <c r="F441" s="4" t="s">
        <v>52</v>
      </c>
      <c r="G441" s="4" t="s">
        <v>64</v>
      </c>
      <c r="H441" s="4">
        <v>7</v>
      </c>
      <c r="I441" s="6">
        <v>120</v>
      </c>
      <c r="J441" s="7">
        <v>0</v>
      </c>
      <c r="K441" s="6">
        <v>840</v>
      </c>
      <c r="L441" s="6">
        <v>592.77958697577731</v>
      </c>
      <c r="M441" s="6">
        <v>247.22041302422269</v>
      </c>
      <c r="N441" s="4" t="s">
        <v>79</v>
      </c>
      <c r="O441" s="4" t="s">
        <v>80</v>
      </c>
    </row>
    <row r="442" spans="1:15" x14ac:dyDescent="0.25">
      <c r="A442" s="4" t="s">
        <v>539</v>
      </c>
      <c r="B442" s="5">
        <v>45833</v>
      </c>
      <c r="C442" s="4" t="s">
        <v>49</v>
      </c>
      <c r="D442" s="4" t="s">
        <v>76</v>
      </c>
      <c r="E442" s="4" t="s">
        <v>51</v>
      </c>
      <c r="F442" s="4" t="s">
        <v>52</v>
      </c>
      <c r="G442" s="4" t="s">
        <v>53</v>
      </c>
      <c r="H442" s="4">
        <v>5</v>
      </c>
      <c r="I442" s="6">
        <v>250</v>
      </c>
      <c r="J442" s="7">
        <v>0</v>
      </c>
      <c r="K442" s="6">
        <v>1250</v>
      </c>
      <c r="L442" s="6">
        <v>802.19255802175508</v>
      </c>
      <c r="M442" s="6">
        <v>447.80744197824492</v>
      </c>
      <c r="N442" s="4" t="s">
        <v>54</v>
      </c>
      <c r="O442" s="4" t="s">
        <v>66</v>
      </c>
    </row>
    <row r="443" spans="1:15" x14ac:dyDescent="0.25">
      <c r="A443" s="4" t="s">
        <v>540</v>
      </c>
      <c r="B443" s="5">
        <v>46007</v>
      </c>
      <c r="C443" s="4" t="s">
        <v>90</v>
      </c>
      <c r="D443" s="4" t="s">
        <v>94</v>
      </c>
      <c r="E443" s="4" t="s">
        <v>57</v>
      </c>
      <c r="F443" s="4" t="s">
        <v>52</v>
      </c>
      <c r="G443" s="4" t="s">
        <v>53</v>
      </c>
      <c r="H443" s="4">
        <v>15</v>
      </c>
      <c r="I443" s="6">
        <v>250</v>
      </c>
      <c r="J443" s="7">
        <v>0.15</v>
      </c>
      <c r="K443" s="6">
        <v>3187.5</v>
      </c>
      <c r="L443" s="6">
        <v>2294.577862379339</v>
      </c>
      <c r="M443" s="6">
        <v>892.92213762066058</v>
      </c>
      <c r="N443" s="4" t="s">
        <v>79</v>
      </c>
      <c r="O443" s="4" t="s">
        <v>66</v>
      </c>
    </row>
    <row r="444" spans="1:15" x14ac:dyDescent="0.25">
      <c r="A444" s="4" t="s">
        <v>541</v>
      </c>
      <c r="B444" s="5">
        <v>45785</v>
      </c>
      <c r="C444" s="4" t="s">
        <v>61</v>
      </c>
      <c r="D444" s="4" t="s">
        <v>100</v>
      </c>
      <c r="E444" s="4" t="s">
        <v>101</v>
      </c>
      <c r="F444" s="4" t="s">
        <v>77</v>
      </c>
      <c r="G444" s="4" t="s">
        <v>78</v>
      </c>
      <c r="H444" s="4">
        <v>4</v>
      </c>
      <c r="I444" s="6">
        <v>6500</v>
      </c>
      <c r="J444" s="7">
        <v>0</v>
      </c>
      <c r="K444" s="6">
        <v>26000</v>
      </c>
      <c r="L444" s="6">
        <v>15512.544021553869</v>
      </c>
      <c r="M444" s="6">
        <v>10487.455978446131</v>
      </c>
      <c r="N444" s="4" t="s">
        <v>65</v>
      </c>
      <c r="O444" s="4" t="s">
        <v>74</v>
      </c>
    </row>
    <row r="445" spans="1:15" x14ac:dyDescent="0.25">
      <c r="A445" s="4" t="s">
        <v>542</v>
      </c>
      <c r="B445" s="5">
        <v>45904</v>
      </c>
      <c r="C445" s="4" t="s">
        <v>49</v>
      </c>
      <c r="D445" s="4" t="s">
        <v>50</v>
      </c>
      <c r="E445" s="4" t="s">
        <v>101</v>
      </c>
      <c r="F445" s="4" t="s">
        <v>85</v>
      </c>
      <c r="G445" s="4" t="s">
        <v>106</v>
      </c>
      <c r="H445" s="4">
        <v>13</v>
      </c>
      <c r="I445" s="6">
        <v>900</v>
      </c>
      <c r="J445" s="7">
        <v>0.15</v>
      </c>
      <c r="K445" s="6">
        <v>9945</v>
      </c>
      <c r="L445" s="6">
        <v>9012.959406448379</v>
      </c>
      <c r="M445" s="6">
        <v>932.04059355162099</v>
      </c>
      <c r="N445" s="4" t="s">
        <v>54</v>
      </c>
      <c r="O445" s="4" t="s">
        <v>80</v>
      </c>
    </row>
    <row r="446" spans="1:15" x14ac:dyDescent="0.25">
      <c r="A446" s="4" t="s">
        <v>543</v>
      </c>
      <c r="B446" s="5">
        <v>45771</v>
      </c>
      <c r="C446" s="4" t="s">
        <v>90</v>
      </c>
      <c r="D446" s="4" t="s">
        <v>91</v>
      </c>
      <c r="E446" s="4" t="s">
        <v>131</v>
      </c>
      <c r="F446" s="4" t="s">
        <v>52</v>
      </c>
      <c r="G446" s="4" t="s">
        <v>110</v>
      </c>
      <c r="H446" s="4">
        <v>3</v>
      </c>
      <c r="I446" s="6">
        <v>180</v>
      </c>
      <c r="J446" s="7">
        <v>0.15</v>
      </c>
      <c r="K446" s="6">
        <v>459</v>
      </c>
      <c r="L446" s="6">
        <v>331.80911459935191</v>
      </c>
      <c r="M446" s="6">
        <v>127.1908854006481</v>
      </c>
      <c r="N446" s="4" t="s">
        <v>65</v>
      </c>
      <c r="O446" s="4" t="s">
        <v>55</v>
      </c>
    </row>
    <row r="447" spans="1:15" x14ac:dyDescent="0.25">
      <c r="A447" s="4" t="s">
        <v>544</v>
      </c>
      <c r="B447" s="5">
        <v>45719</v>
      </c>
      <c r="C447" s="4" t="s">
        <v>90</v>
      </c>
      <c r="D447" s="4" t="s">
        <v>91</v>
      </c>
      <c r="E447" s="4" t="s">
        <v>105</v>
      </c>
      <c r="F447" s="4" t="s">
        <v>58</v>
      </c>
      <c r="G447" s="4" t="s">
        <v>73</v>
      </c>
      <c r="H447" s="4">
        <v>7</v>
      </c>
      <c r="I447" s="6">
        <v>1800</v>
      </c>
      <c r="J447" s="7">
        <v>0</v>
      </c>
      <c r="K447" s="6">
        <v>12600</v>
      </c>
      <c r="L447" s="6">
        <v>8254.9541074478475</v>
      </c>
      <c r="M447" s="6">
        <v>4345.0458925521534</v>
      </c>
      <c r="N447" s="4" t="s">
        <v>79</v>
      </c>
      <c r="O447" s="4" t="s">
        <v>74</v>
      </c>
    </row>
    <row r="448" spans="1:15" x14ac:dyDescent="0.25">
      <c r="A448" s="4" t="s">
        <v>545</v>
      </c>
      <c r="B448" s="5">
        <v>45971</v>
      </c>
      <c r="C448" s="4" t="s">
        <v>49</v>
      </c>
      <c r="D448" s="4" t="s">
        <v>76</v>
      </c>
      <c r="E448" s="4" t="s">
        <v>63</v>
      </c>
      <c r="F448" s="4" t="s">
        <v>77</v>
      </c>
      <c r="G448" s="4" t="s">
        <v>119</v>
      </c>
      <c r="H448" s="4">
        <v>10</v>
      </c>
      <c r="I448" s="6">
        <v>8000</v>
      </c>
      <c r="J448" s="7">
        <v>0</v>
      </c>
      <c r="K448" s="6">
        <v>80000</v>
      </c>
      <c r="L448" s="6">
        <v>49988.026078443851</v>
      </c>
      <c r="M448" s="6">
        <v>30011.973921556149</v>
      </c>
      <c r="N448" s="4" t="s">
        <v>65</v>
      </c>
      <c r="O448" s="4" t="s">
        <v>80</v>
      </c>
    </row>
    <row r="449" spans="1:15" x14ac:dyDescent="0.25">
      <c r="A449" s="4" t="s">
        <v>546</v>
      </c>
      <c r="B449" s="5">
        <v>45765</v>
      </c>
      <c r="C449" s="4" t="s">
        <v>61</v>
      </c>
      <c r="D449" s="4" t="s">
        <v>62</v>
      </c>
      <c r="E449" s="4" t="s">
        <v>123</v>
      </c>
      <c r="F449" s="4" t="s">
        <v>85</v>
      </c>
      <c r="G449" s="4" t="s">
        <v>116</v>
      </c>
      <c r="H449" s="4">
        <v>6</v>
      </c>
      <c r="I449" s="6">
        <v>3000</v>
      </c>
      <c r="J449" s="7">
        <v>0</v>
      </c>
      <c r="K449" s="6">
        <v>18000</v>
      </c>
      <c r="L449" s="6">
        <v>11964.90786876621</v>
      </c>
      <c r="M449" s="6">
        <v>6035.092131233785</v>
      </c>
      <c r="N449" s="4" t="s">
        <v>54</v>
      </c>
      <c r="O449" s="4" t="s">
        <v>80</v>
      </c>
    </row>
    <row r="450" spans="1:15" x14ac:dyDescent="0.25">
      <c r="A450" s="4" t="s">
        <v>547</v>
      </c>
      <c r="B450" s="5">
        <v>45952</v>
      </c>
      <c r="C450" s="4" t="s">
        <v>68</v>
      </c>
      <c r="D450" s="4" t="s">
        <v>88</v>
      </c>
      <c r="E450" s="4" t="s">
        <v>57</v>
      </c>
      <c r="F450" s="4" t="s">
        <v>52</v>
      </c>
      <c r="G450" s="4" t="s">
        <v>110</v>
      </c>
      <c r="H450" s="4">
        <v>3</v>
      </c>
      <c r="I450" s="6">
        <v>180</v>
      </c>
      <c r="J450" s="7">
        <v>0.15</v>
      </c>
      <c r="K450" s="6">
        <v>459</v>
      </c>
      <c r="L450" s="6">
        <v>313.28748447914148</v>
      </c>
      <c r="M450" s="6">
        <v>145.71251552085849</v>
      </c>
      <c r="N450" s="4" t="s">
        <v>65</v>
      </c>
      <c r="O450" s="4" t="s">
        <v>80</v>
      </c>
    </row>
    <row r="451" spans="1:15" x14ac:dyDescent="0.25">
      <c r="A451" s="4" t="s">
        <v>548</v>
      </c>
      <c r="B451" s="5">
        <v>45734</v>
      </c>
      <c r="C451" s="4" t="s">
        <v>61</v>
      </c>
      <c r="D451" s="4" t="s">
        <v>100</v>
      </c>
      <c r="E451" s="4" t="s">
        <v>105</v>
      </c>
      <c r="F451" s="4" t="s">
        <v>85</v>
      </c>
      <c r="G451" s="4" t="s">
        <v>86</v>
      </c>
      <c r="H451" s="4">
        <v>4</v>
      </c>
      <c r="I451" s="6">
        <v>1200</v>
      </c>
      <c r="J451" s="7">
        <v>0</v>
      </c>
      <c r="K451" s="6">
        <v>4800</v>
      </c>
      <c r="L451" s="6">
        <v>3523.24135389104</v>
      </c>
      <c r="M451" s="6">
        <v>1276.75864610896</v>
      </c>
      <c r="N451" s="4" t="s">
        <v>65</v>
      </c>
      <c r="O451" s="4" t="s">
        <v>66</v>
      </c>
    </row>
    <row r="452" spans="1:15" x14ac:dyDescent="0.25">
      <c r="A452" s="4" t="s">
        <v>549</v>
      </c>
      <c r="B452" s="5">
        <v>45945</v>
      </c>
      <c r="C452" s="4" t="s">
        <v>90</v>
      </c>
      <c r="D452" s="4" t="s">
        <v>94</v>
      </c>
      <c r="E452" s="4" t="s">
        <v>84</v>
      </c>
      <c r="F452" s="4" t="s">
        <v>77</v>
      </c>
      <c r="G452" s="4" t="s">
        <v>78</v>
      </c>
      <c r="H452" s="4">
        <v>13</v>
      </c>
      <c r="I452" s="6">
        <v>6500</v>
      </c>
      <c r="J452" s="7">
        <v>0.1</v>
      </c>
      <c r="K452" s="6">
        <v>76050</v>
      </c>
      <c r="L452" s="6">
        <v>52306.164330152278</v>
      </c>
      <c r="M452" s="6">
        <v>23743.835669847718</v>
      </c>
      <c r="N452" s="4" t="s">
        <v>79</v>
      </c>
      <c r="O452" s="4" t="s">
        <v>74</v>
      </c>
    </row>
    <row r="453" spans="1:15" x14ac:dyDescent="0.25">
      <c r="A453" s="4" t="s">
        <v>550</v>
      </c>
      <c r="B453" s="5">
        <v>45829</v>
      </c>
      <c r="C453" s="4" t="s">
        <v>61</v>
      </c>
      <c r="D453" s="4" t="s">
        <v>83</v>
      </c>
      <c r="E453" s="4" t="s">
        <v>63</v>
      </c>
      <c r="F453" s="4" t="s">
        <v>77</v>
      </c>
      <c r="G453" s="4" t="s">
        <v>78</v>
      </c>
      <c r="H453" s="4">
        <v>8</v>
      </c>
      <c r="I453" s="6">
        <v>6500</v>
      </c>
      <c r="J453" s="7">
        <v>0</v>
      </c>
      <c r="K453" s="6">
        <v>52000</v>
      </c>
      <c r="L453" s="6">
        <v>33980.263636002957</v>
      </c>
      <c r="M453" s="6">
        <v>18019.736363997039</v>
      </c>
      <c r="N453" s="4" t="s">
        <v>79</v>
      </c>
      <c r="O453" s="4" t="s">
        <v>80</v>
      </c>
    </row>
    <row r="454" spans="1:15" x14ac:dyDescent="0.25">
      <c r="A454" s="4" t="s">
        <v>551</v>
      </c>
      <c r="B454" s="5">
        <v>45968</v>
      </c>
      <c r="C454" s="4" t="s">
        <v>68</v>
      </c>
      <c r="D454" s="4" t="s">
        <v>88</v>
      </c>
      <c r="E454" s="4" t="s">
        <v>57</v>
      </c>
      <c r="F454" s="4" t="s">
        <v>58</v>
      </c>
      <c r="G454" s="4" t="s">
        <v>70</v>
      </c>
      <c r="H454" s="4">
        <v>2</v>
      </c>
      <c r="I454" s="6">
        <v>9000</v>
      </c>
      <c r="J454" s="7">
        <v>0.05</v>
      </c>
      <c r="K454" s="6">
        <v>17100</v>
      </c>
      <c r="L454" s="6">
        <v>13490.905937652929</v>
      </c>
      <c r="M454" s="6">
        <v>3609.0940623470742</v>
      </c>
      <c r="N454" s="4" t="s">
        <v>54</v>
      </c>
      <c r="O454" s="4" t="s">
        <v>66</v>
      </c>
    </row>
    <row r="455" spans="1:15" x14ac:dyDescent="0.25">
      <c r="A455" s="4" t="s">
        <v>552</v>
      </c>
      <c r="B455" s="5">
        <v>45853</v>
      </c>
      <c r="C455" s="4" t="s">
        <v>68</v>
      </c>
      <c r="D455" s="4" t="s">
        <v>88</v>
      </c>
      <c r="E455" s="4" t="s">
        <v>63</v>
      </c>
      <c r="F455" s="4" t="s">
        <v>52</v>
      </c>
      <c r="G455" s="4" t="s">
        <v>110</v>
      </c>
      <c r="H455" s="4">
        <v>13</v>
      </c>
      <c r="I455" s="6">
        <v>180</v>
      </c>
      <c r="J455" s="7">
        <v>0.1</v>
      </c>
      <c r="K455" s="6">
        <v>2106</v>
      </c>
      <c r="L455" s="6">
        <v>1765.8001841261901</v>
      </c>
      <c r="M455" s="6">
        <v>340.19981587380971</v>
      </c>
      <c r="N455" s="4" t="s">
        <v>79</v>
      </c>
      <c r="O455" s="4" t="s">
        <v>66</v>
      </c>
    </row>
    <row r="456" spans="1:15" x14ac:dyDescent="0.25">
      <c r="A456" s="4" t="s">
        <v>553</v>
      </c>
      <c r="B456" s="5">
        <v>45694</v>
      </c>
      <c r="C456" s="4" t="s">
        <v>61</v>
      </c>
      <c r="D456" s="4" t="s">
        <v>100</v>
      </c>
      <c r="E456" s="4" t="s">
        <v>51</v>
      </c>
      <c r="F456" s="4" t="s">
        <v>52</v>
      </c>
      <c r="G456" s="4" t="s">
        <v>110</v>
      </c>
      <c r="H456" s="4">
        <v>11</v>
      </c>
      <c r="I456" s="6">
        <v>180</v>
      </c>
      <c r="J456" s="7">
        <v>0.15</v>
      </c>
      <c r="K456" s="6">
        <v>1683</v>
      </c>
      <c r="L456" s="6">
        <v>1349.323751142126</v>
      </c>
      <c r="M456" s="6">
        <v>333.67624885787433</v>
      </c>
      <c r="N456" s="4" t="s">
        <v>65</v>
      </c>
      <c r="O456" s="4" t="s">
        <v>80</v>
      </c>
    </row>
    <row r="457" spans="1:15" x14ac:dyDescent="0.25">
      <c r="A457" s="4" t="s">
        <v>554</v>
      </c>
      <c r="B457" s="5">
        <v>45860</v>
      </c>
      <c r="C457" s="4" t="s">
        <v>61</v>
      </c>
      <c r="D457" s="4" t="s">
        <v>62</v>
      </c>
      <c r="E457" s="4" t="s">
        <v>63</v>
      </c>
      <c r="F457" s="4" t="s">
        <v>52</v>
      </c>
      <c r="G457" s="4" t="s">
        <v>98</v>
      </c>
      <c r="H457" s="4">
        <v>12</v>
      </c>
      <c r="I457" s="6">
        <v>80</v>
      </c>
      <c r="J457" s="7">
        <v>0.05</v>
      </c>
      <c r="K457" s="6">
        <v>912</v>
      </c>
      <c r="L457" s="6">
        <v>661.66900204373496</v>
      </c>
      <c r="M457" s="6">
        <v>250.33099795626501</v>
      </c>
      <c r="N457" s="4" t="s">
        <v>79</v>
      </c>
      <c r="O457" s="4" t="s">
        <v>80</v>
      </c>
    </row>
    <row r="458" spans="1:15" x14ac:dyDescent="0.25">
      <c r="A458" s="4" t="s">
        <v>555</v>
      </c>
      <c r="B458" s="5">
        <v>45778</v>
      </c>
      <c r="C458" s="4" t="s">
        <v>90</v>
      </c>
      <c r="D458" s="4" t="s">
        <v>94</v>
      </c>
      <c r="E458" s="4" t="s">
        <v>63</v>
      </c>
      <c r="F458" s="4" t="s">
        <v>77</v>
      </c>
      <c r="G458" s="4" t="s">
        <v>95</v>
      </c>
      <c r="H458" s="4">
        <v>14</v>
      </c>
      <c r="I458" s="6">
        <v>11000</v>
      </c>
      <c r="J458" s="7">
        <v>0</v>
      </c>
      <c r="K458" s="6">
        <v>154000</v>
      </c>
      <c r="L458" s="6">
        <v>89128.913638127589</v>
      </c>
      <c r="M458" s="6">
        <v>64871.086361872411</v>
      </c>
      <c r="N458" s="4" t="s">
        <v>54</v>
      </c>
      <c r="O458" s="4" t="s">
        <v>74</v>
      </c>
    </row>
    <row r="459" spans="1:15" x14ac:dyDescent="0.25">
      <c r="A459" s="4" t="s">
        <v>556</v>
      </c>
      <c r="B459" s="5">
        <v>45900</v>
      </c>
      <c r="C459" s="4" t="s">
        <v>61</v>
      </c>
      <c r="D459" s="4" t="s">
        <v>83</v>
      </c>
      <c r="E459" s="4" t="s">
        <v>84</v>
      </c>
      <c r="F459" s="4" t="s">
        <v>85</v>
      </c>
      <c r="G459" s="4" t="s">
        <v>106</v>
      </c>
      <c r="H459" s="4">
        <v>2</v>
      </c>
      <c r="I459" s="6">
        <v>900</v>
      </c>
      <c r="J459" s="7">
        <v>0</v>
      </c>
      <c r="K459" s="6">
        <v>1800</v>
      </c>
      <c r="L459" s="6">
        <v>1377.832575945393</v>
      </c>
      <c r="M459" s="6">
        <v>422.16742405460741</v>
      </c>
      <c r="N459" s="4" t="s">
        <v>65</v>
      </c>
      <c r="O459" s="4" t="s">
        <v>55</v>
      </c>
    </row>
    <row r="460" spans="1:15" x14ac:dyDescent="0.25">
      <c r="A460" s="4" t="s">
        <v>557</v>
      </c>
      <c r="B460" s="5">
        <v>45784</v>
      </c>
      <c r="C460" s="4" t="s">
        <v>49</v>
      </c>
      <c r="D460" s="4" t="s">
        <v>50</v>
      </c>
      <c r="E460" s="4" t="s">
        <v>63</v>
      </c>
      <c r="F460" s="4" t="s">
        <v>52</v>
      </c>
      <c r="G460" s="4" t="s">
        <v>53</v>
      </c>
      <c r="H460" s="4">
        <v>2</v>
      </c>
      <c r="I460" s="6">
        <v>250</v>
      </c>
      <c r="J460" s="7">
        <v>0.1</v>
      </c>
      <c r="K460" s="6">
        <v>450</v>
      </c>
      <c r="L460" s="6">
        <v>310.57762515824987</v>
      </c>
      <c r="M460" s="6">
        <v>139.4223748417501</v>
      </c>
      <c r="N460" s="4" t="s">
        <v>79</v>
      </c>
      <c r="O460" s="4" t="s">
        <v>66</v>
      </c>
    </row>
    <row r="461" spans="1:15" x14ac:dyDescent="0.25">
      <c r="A461" s="4" t="s">
        <v>558</v>
      </c>
      <c r="B461" s="5">
        <v>45824</v>
      </c>
      <c r="C461" s="4" t="s">
        <v>61</v>
      </c>
      <c r="D461" s="4" t="s">
        <v>100</v>
      </c>
      <c r="E461" s="4" t="s">
        <v>105</v>
      </c>
      <c r="F461" s="4" t="s">
        <v>77</v>
      </c>
      <c r="G461" s="4" t="s">
        <v>158</v>
      </c>
      <c r="H461" s="4">
        <v>1</v>
      </c>
      <c r="I461" s="6">
        <v>7000</v>
      </c>
      <c r="J461" s="7">
        <v>0.05</v>
      </c>
      <c r="K461" s="6">
        <v>6650</v>
      </c>
      <c r="L461" s="6">
        <v>5235.1937960355617</v>
      </c>
      <c r="M461" s="6">
        <v>1414.8062039644381</v>
      </c>
      <c r="N461" s="4" t="s">
        <v>79</v>
      </c>
      <c r="O461" s="4" t="s">
        <v>80</v>
      </c>
    </row>
    <row r="462" spans="1:15" x14ac:dyDescent="0.25">
      <c r="A462" s="4" t="s">
        <v>559</v>
      </c>
      <c r="B462" s="5">
        <v>45985</v>
      </c>
      <c r="C462" s="4" t="s">
        <v>90</v>
      </c>
      <c r="D462" s="4" t="s">
        <v>114</v>
      </c>
      <c r="E462" s="4" t="s">
        <v>63</v>
      </c>
      <c r="F462" s="4" t="s">
        <v>77</v>
      </c>
      <c r="G462" s="4" t="s">
        <v>119</v>
      </c>
      <c r="H462" s="4">
        <v>11</v>
      </c>
      <c r="I462" s="6">
        <v>8000</v>
      </c>
      <c r="J462" s="7">
        <v>0.15</v>
      </c>
      <c r="K462" s="6">
        <v>74800</v>
      </c>
      <c r="L462" s="6">
        <v>57203.941997549133</v>
      </c>
      <c r="M462" s="6">
        <v>17596.058002450871</v>
      </c>
      <c r="N462" s="4" t="s">
        <v>79</v>
      </c>
      <c r="O462" s="4" t="s">
        <v>55</v>
      </c>
    </row>
    <row r="463" spans="1:15" x14ac:dyDescent="0.25">
      <c r="A463" s="4" t="s">
        <v>560</v>
      </c>
      <c r="B463" s="5">
        <v>45813</v>
      </c>
      <c r="C463" s="4" t="s">
        <v>61</v>
      </c>
      <c r="D463" s="4" t="s">
        <v>83</v>
      </c>
      <c r="E463" s="4" t="s">
        <v>84</v>
      </c>
      <c r="F463" s="4" t="s">
        <v>85</v>
      </c>
      <c r="G463" s="4" t="s">
        <v>116</v>
      </c>
      <c r="H463" s="4">
        <v>6</v>
      </c>
      <c r="I463" s="6">
        <v>3000</v>
      </c>
      <c r="J463" s="7">
        <v>0.1</v>
      </c>
      <c r="K463" s="6">
        <v>16200</v>
      </c>
      <c r="L463" s="6">
        <v>10975.601161902179</v>
      </c>
      <c r="M463" s="6">
        <v>5224.3988380978208</v>
      </c>
      <c r="N463" s="4" t="s">
        <v>65</v>
      </c>
      <c r="O463" s="4" t="s">
        <v>66</v>
      </c>
    </row>
    <row r="464" spans="1:15" x14ac:dyDescent="0.25">
      <c r="A464" s="4" t="s">
        <v>561</v>
      </c>
      <c r="B464" s="5">
        <v>45902</v>
      </c>
      <c r="C464" s="4" t="s">
        <v>68</v>
      </c>
      <c r="D464" s="4" t="s">
        <v>88</v>
      </c>
      <c r="E464" s="4" t="s">
        <v>63</v>
      </c>
      <c r="F464" s="4" t="s">
        <v>85</v>
      </c>
      <c r="G464" s="4" t="s">
        <v>106</v>
      </c>
      <c r="H464" s="4">
        <v>12</v>
      </c>
      <c r="I464" s="6">
        <v>900</v>
      </c>
      <c r="J464" s="7">
        <v>0.1</v>
      </c>
      <c r="K464" s="6">
        <v>9720</v>
      </c>
      <c r="L464" s="6">
        <v>8292.2424594804215</v>
      </c>
      <c r="M464" s="6">
        <v>1427.757540519578</v>
      </c>
      <c r="N464" s="4" t="s">
        <v>65</v>
      </c>
      <c r="O464" s="4" t="s">
        <v>55</v>
      </c>
    </row>
    <row r="465" spans="1:15" x14ac:dyDescent="0.25">
      <c r="A465" s="4" t="s">
        <v>562</v>
      </c>
      <c r="B465" s="5">
        <v>45945</v>
      </c>
      <c r="C465" s="4" t="s">
        <v>68</v>
      </c>
      <c r="D465" s="4" t="s">
        <v>108</v>
      </c>
      <c r="E465" s="4" t="s">
        <v>123</v>
      </c>
      <c r="F465" s="4" t="s">
        <v>77</v>
      </c>
      <c r="G465" s="4" t="s">
        <v>158</v>
      </c>
      <c r="H465" s="4">
        <v>9</v>
      </c>
      <c r="I465" s="6">
        <v>7000</v>
      </c>
      <c r="J465" s="7">
        <v>0.05</v>
      </c>
      <c r="K465" s="6">
        <v>59850</v>
      </c>
      <c r="L465" s="6">
        <v>37382.393490419177</v>
      </c>
      <c r="M465" s="6">
        <v>22467.606509580819</v>
      </c>
      <c r="N465" s="4" t="s">
        <v>79</v>
      </c>
      <c r="O465" s="4" t="s">
        <v>66</v>
      </c>
    </row>
    <row r="466" spans="1:15" x14ac:dyDescent="0.25">
      <c r="A466" s="4" t="s">
        <v>563</v>
      </c>
      <c r="B466" s="5">
        <v>45978</v>
      </c>
      <c r="C466" s="4" t="s">
        <v>61</v>
      </c>
      <c r="D466" s="4" t="s">
        <v>100</v>
      </c>
      <c r="E466" s="4" t="s">
        <v>57</v>
      </c>
      <c r="F466" s="4" t="s">
        <v>85</v>
      </c>
      <c r="G466" s="4" t="s">
        <v>86</v>
      </c>
      <c r="H466" s="4">
        <v>4</v>
      </c>
      <c r="I466" s="6">
        <v>1200</v>
      </c>
      <c r="J466" s="7">
        <v>0.05</v>
      </c>
      <c r="K466" s="6">
        <v>4560</v>
      </c>
      <c r="L466" s="6">
        <v>2727.4475454252379</v>
      </c>
      <c r="M466" s="6">
        <v>1832.5524545747619</v>
      </c>
      <c r="N466" s="4" t="s">
        <v>54</v>
      </c>
      <c r="O466" s="4" t="s">
        <v>80</v>
      </c>
    </row>
    <row r="467" spans="1:15" x14ac:dyDescent="0.25">
      <c r="A467" s="4" t="s">
        <v>564</v>
      </c>
      <c r="B467" s="5">
        <v>45806</v>
      </c>
      <c r="C467" s="4" t="s">
        <v>68</v>
      </c>
      <c r="D467" s="4" t="s">
        <v>108</v>
      </c>
      <c r="E467" s="4" t="s">
        <v>51</v>
      </c>
      <c r="F467" s="4" t="s">
        <v>52</v>
      </c>
      <c r="G467" s="4" t="s">
        <v>110</v>
      </c>
      <c r="H467" s="4">
        <v>4</v>
      </c>
      <c r="I467" s="6">
        <v>180</v>
      </c>
      <c r="J467" s="7">
        <v>0</v>
      </c>
      <c r="K467" s="6">
        <v>720</v>
      </c>
      <c r="L467" s="6">
        <v>426.20662884283757</v>
      </c>
      <c r="M467" s="6">
        <v>293.79337115716243</v>
      </c>
      <c r="N467" s="4" t="s">
        <v>54</v>
      </c>
      <c r="O467" s="4" t="s">
        <v>55</v>
      </c>
    </row>
    <row r="468" spans="1:15" x14ac:dyDescent="0.25">
      <c r="A468" s="4" t="s">
        <v>565</v>
      </c>
      <c r="B468" s="5">
        <v>45931</v>
      </c>
      <c r="C468" s="4" t="s">
        <v>90</v>
      </c>
      <c r="D468" s="4" t="s">
        <v>94</v>
      </c>
      <c r="E468" s="4" t="s">
        <v>84</v>
      </c>
      <c r="F468" s="4" t="s">
        <v>85</v>
      </c>
      <c r="G468" s="4" t="s">
        <v>92</v>
      </c>
      <c r="H468" s="4">
        <v>6</v>
      </c>
      <c r="I468" s="6">
        <v>2200</v>
      </c>
      <c r="J468" s="7">
        <v>0</v>
      </c>
      <c r="K468" s="6">
        <v>13200</v>
      </c>
      <c r="L468" s="6">
        <v>7721.9252903363331</v>
      </c>
      <c r="M468" s="6">
        <v>5478.0747096636669</v>
      </c>
      <c r="N468" s="4" t="s">
        <v>65</v>
      </c>
      <c r="O468" s="4" t="s">
        <v>74</v>
      </c>
    </row>
    <row r="469" spans="1:15" x14ac:dyDescent="0.25">
      <c r="A469" s="4" t="s">
        <v>566</v>
      </c>
      <c r="B469" s="5">
        <v>45735</v>
      </c>
      <c r="C469" s="4" t="s">
        <v>68</v>
      </c>
      <c r="D469" s="4" t="s">
        <v>88</v>
      </c>
      <c r="E469" s="4" t="s">
        <v>84</v>
      </c>
      <c r="F469" s="4" t="s">
        <v>77</v>
      </c>
      <c r="G469" s="4" t="s">
        <v>119</v>
      </c>
      <c r="H469" s="4">
        <v>12</v>
      </c>
      <c r="I469" s="6">
        <v>8000</v>
      </c>
      <c r="J469" s="7">
        <v>0</v>
      </c>
      <c r="K469" s="6">
        <v>96000</v>
      </c>
      <c r="L469" s="6">
        <v>57940.455794867499</v>
      </c>
      <c r="M469" s="6">
        <v>38059.544205132501</v>
      </c>
      <c r="N469" s="4" t="s">
        <v>79</v>
      </c>
      <c r="O469" s="4" t="s">
        <v>66</v>
      </c>
    </row>
    <row r="470" spans="1:15" x14ac:dyDescent="0.25">
      <c r="A470" s="4" t="s">
        <v>567</v>
      </c>
      <c r="B470" s="5">
        <v>45674</v>
      </c>
      <c r="C470" s="4" t="s">
        <v>68</v>
      </c>
      <c r="D470" s="4" t="s">
        <v>88</v>
      </c>
      <c r="E470" s="4" t="s">
        <v>101</v>
      </c>
      <c r="F470" s="4" t="s">
        <v>52</v>
      </c>
      <c r="G470" s="4" t="s">
        <v>110</v>
      </c>
      <c r="H470" s="4">
        <v>6</v>
      </c>
      <c r="I470" s="6">
        <v>180</v>
      </c>
      <c r="J470" s="7">
        <v>0.1</v>
      </c>
      <c r="K470" s="6">
        <v>972</v>
      </c>
      <c r="L470" s="6">
        <v>767.11860500715591</v>
      </c>
      <c r="M470" s="6">
        <v>204.88139499284409</v>
      </c>
      <c r="N470" s="4" t="s">
        <v>65</v>
      </c>
      <c r="O470" s="4" t="s">
        <v>66</v>
      </c>
    </row>
    <row r="471" spans="1:15" x14ac:dyDescent="0.25">
      <c r="A471" s="4" t="s">
        <v>568</v>
      </c>
      <c r="B471" s="5">
        <v>45786</v>
      </c>
      <c r="C471" s="4" t="s">
        <v>49</v>
      </c>
      <c r="D471" s="4" t="s">
        <v>72</v>
      </c>
      <c r="E471" s="4" t="s">
        <v>123</v>
      </c>
      <c r="F471" s="4" t="s">
        <v>85</v>
      </c>
      <c r="G471" s="4" t="s">
        <v>106</v>
      </c>
      <c r="H471" s="4">
        <v>9</v>
      </c>
      <c r="I471" s="6">
        <v>900</v>
      </c>
      <c r="J471" s="7">
        <v>0.1</v>
      </c>
      <c r="K471" s="6">
        <v>7290</v>
      </c>
      <c r="L471" s="6">
        <v>4793.3277650256032</v>
      </c>
      <c r="M471" s="6">
        <v>2496.6722349743968</v>
      </c>
      <c r="N471" s="4" t="s">
        <v>65</v>
      </c>
      <c r="O471" s="4" t="s">
        <v>74</v>
      </c>
    </row>
    <row r="472" spans="1:15" x14ac:dyDescent="0.25">
      <c r="A472" s="4" t="s">
        <v>569</v>
      </c>
      <c r="B472" s="5">
        <v>45706</v>
      </c>
      <c r="C472" s="4" t="s">
        <v>61</v>
      </c>
      <c r="D472" s="4" t="s">
        <v>62</v>
      </c>
      <c r="E472" s="4" t="s">
        <v>57</v>
      </c>
      <c r="F472" s="4" t="s">
        <v>85</v>
      </c>
      <c r="G472" s="4" t="s">
        <v>92</v>
      </c>
      <c r="H472" s="4">
        <v>12</v>
      </c>
      <c r="I472" s="6">
        <v>2200</v>
      </c>
      <c r="J472" s="7">
        <v>0</v>
      </c>
      <c r="K472" s="6">
        <v>26400</v>
      </c>
      <c r="L472" s="6">
        <v>15729.420208917471</v>
      </c>
      <c r="M472" s="6">
        <v>10670.579791082529</v>
      </c>
      <c r="N472" s="4" t="s">
        <v>79</v>
      </c>
      <c r="O472" s="4" t="s">
        <v>55</v>
      </c>
    </row>
    <row r="473" spans="1:15" x14ac:dyDescent="0.25">
      <c r="A473" s="4" t="s">
        <v>570</v>
      </c>
      <c r="B473" s="5">
        <v>45787</v>
      </c>
      <c r="C473" s="4" t="s">
        <v>68</v>
      </c>
      <c r="D473" s="4" t="s">
        <v>88</v>
      </c>
      <c r="E473" s="4" t="s">
        <v>105</v>
      </c>
      <c r="F473" s="4" t="s">
        <v>77</v>
      </c>
      <c r="G473" s="4" t="s">
        <v>158</v>
      </c>
      <c r="H473" s="4">
        <v>12</v>
      </c>
      <c r="I473" s="6">
        <v>7000</v>
      </c>
      <c r="J473" s="7">
        <v>0.15</v>
      </c>
      <c r="K473" s="6">
        <v>71400</v>
      </c>
      <c r="L473" s="6">
        <v>56264.295206366289</v>
      </c>
      <c r="M473" s="6">
        <v>15135.704793633709</v>
      </c>
      <c r="N473" s="4" t="s">
        <v>54</v>
      </c>
      <c r="O473" s="4" t="s">
        <v>80</v>
      </c>
    </row>
    <row r="474" spans="1:15" x14ac:dyDescent="0.25">
      <c r="A474" s="4" t="s">
        <v>571</v>
      </c>
      <c r="B474" s="5">
        <v>45824</v>
      </c>
      <c r="C474" s="4" t="s">
        <v>61</v>
      </c>
      <c r="D474" s="4" t="s">
        <v>62</v>
      </c>
      <c r="E474" s="4" t="s">
        <v>84</v>
      </c>
      <c r="F474" s="4" t="s">
        <v>58</v>
      </c>
      <c r="G474" s="4" t="s">
        <v>59</v>
      </c>
      <c r="H474" s="4">
        <v>2</v>
      </c>
      <c r="I474" s="6">
        <v>12000</v>
      </c>
      <c r="J474" s="7">
        <v>0</v>
      </c>
      <c r="K474" s="6">
        <v>24000</v>
      </c>
      <c r="L474" s="6">
        <v>16693.657491777631</v>
      </c>
      <c r="M474" s="6">
        <v>7306.3425082223694</v>
      </c>
      <c r="N474" s="4" t="s">
        <v>65</v>
      </c>
      <c r="O474" s="4" t="s">
        <v>80</v>
      </c>
    </row>
    <row r="475" spans="1:15" x14ac:dyDescent="0.25">
      <c r="A475" s="4" t="s">
        <v>572</v>
      </c>
      <c r="B475" s="5">
        <v>45901</v>
      </c>
      <c r="C475" s="4" t="s">
        <v>49</v>
      </c>
      <c r="D475" s="4" t="s">
        <v>72</v>
      </c>
      <c r="E475" s="4" t="s">
        <v>131</v>
      </c>
      <c r="F475" s="4" t="s">
        <v>77</v>
      </c>
      <c r="G475" s="4" t="s">
        <v>158</v>
      </c>
      <c r="H475" s="4">
        <v>1</v>
      </c>
      <c r="I475" s="6">
        <v>7000</v>
      </c>
      <c r="J475" s="7">
        <v>0.15</v>
      </c>
      <c r="K475" s="6">
        <v>5950</v>
      </c>
      <c r="L475" s="6">
        <v>5111.3951368042062</v>
      </c>
      <c r="M475" s="6">
        <v>838.60486319579377</v>
      </c>
      <c r="N475" s="4" t="s">
        <v>79</v>
      </c>
      <c r="O475" s="4" t="s">
        <v>74</v>
      </c>
    </row>
    <row r="476" spans="1:15" x14ac:dyDescent="0.25">
      <c r="A476" s="4" t="s">
        <v>573</v>
      </c>
      <c r="B476" s="5">
        <v>45978</v>
      </c>
      <c r="C476" s="4" t="s">
        <v>61</v>
      </c>
      <c r="D476" s="4" t="s">
        <v>83</v>
      </c>
      <c r="E476" s="4" t="s">
        <v>84</v>
      </c>
      <c r="F476" s="4" t="s">
        <v>85</v>
      </c>
      <c r="G476" s="4" t="s">
        <v>106</v>
      </c>
      <c r="H476" s="4">
        <v>11</v>
      </c>
      <c r="I476" s="6">
        <v>900</v>
      </c>
      <c r="J476" s="7">
        <v>0.15</v>
      </c>
      <c r="K476" s="6">
        <v>8415</v>
      </c>
      <c r="L476" s="6">
        <v>6215.5871143008962</v>
      </c>
      <c r="M476" s="6">
        <v>2199.4128856991042</v>
      </c>
      <c r="N476" s="4" t="s">
        <v>65</v>
      </c>
      <c r="O476" s="4" t="s">
        <v>80</v>
      </c>
    </row>
    <row r="477" spans="1:15" x14ac:dyDescent="0.25">
      <c r="A477" s="4" t="s">
        <v>574</v>
      </c>
      <c r="B477" s="5">
        <v>45943</v>
      </c>
      <c r="C477" s="4" t="s">
        <v>61</v>
      </c>
      <c r="D477" s="4" t="s">
        <v>100</v>
      </c>
      <c r="E477" s="4" t="s">
        <v>101</v>
      </c>
      <c r="F477" s="4" t="s">
        <v>58</v>
      </c>
      <c r="G477" s="4" t="s">
        <v>59</v>
      </c>
      <c r="H477" s="4">
        <v>8</v>
      </c>
      <c r="I477" s="6">
        <v>12000</v>
      </c>
      <c r="J477" s="7">
        <v>0</v>
      </c>
      <c r="K477" s="6">
        <v>96000</v>
      </c>
      <c r="L477" s="6">
        <v>59793.609463538232</v>
      </c>
      <c r="M477" s="6">
        <v>36206.390536461768</v>
      </c>
      <c r="N477" s="4" t="s">
        <v>79</v>
      </c>
      <c r="O477" s="4" t="s">
        <v>66</v>
      </c>
    </row>
    <row r="478" spans="1:15" x14ac:dyDescent="0.25">
      <c r="A478" s="4" t="s">
        <v>575</v>
      </c>
      <c r="B478" s="5">
        <v>45678</v>
      </c>
      <c r="C478" s="4" t="s">
        <v>49</v>
      </c>
      <c r="D478" s="4" t="s">
        <v>76</v>
      </c>
      <c r="E478" s="4" t="s">
        <v>105</v>
      </c>
      <c r="F478" s="4" t="s">
        <v>85</v>
      </c>
      <c r="G478" s="4" t="s">
        <v>116</v>
      </c>
      <c r="H478" s="4">
        <v>12</v>
      </c>
      <c r="I478" s="6">
        <v>3000</v>
      </c>
      <c r="J478" s="7">
        <v>0</v>
      </c>
      <c r="K478" s="6">
        <v>36000</v>
      </c>
      <c r="L478" s="6">
        <v>21875.764876312991</v>
      </c>
      <c r="M478" s="6">
        <v>14124.235123687011</v>
      </c>
      <c r="N478" s="4" t="s">
        <v>54</v>
      </c>
      <c r="O478" s="4" t="s">
        <v>55</v>
      </c>
    </row>
    <row r="479" spans="1:15" x14ac:dyDescent="0.25">
      <c r="A479" s="4" t="s">
        <v>576</v>
      </c>
      <c r="B479" s="5">
        <v>45823</v>
      </c>
      <c r="C479" s="4" t="s">
        <v>68</v>
      </c>
      <c r="D479" s="4" t="s">
        <v>108</v>
      </c>
      <c r="E479" s="4" t="s">
        <v>105</v>
      </c>
      <c r="F479" s="4" t="s">
        <v>85</v>
      </c>
      <c r="G479" s="4" t="s">
        <v>92</v>
      </c>
      <c r="H479" s="4">
        <v>10</v>
      </c>
      <c r="I479" s="6">
        <v>2200</v>
      </c>
      <c r="J479" s="7">
        <v>0</v>
      </c>
      <c r="K479" s="6">
        <v>22000</v>
      </c>
      <c r="L479" s="6">
        <v>14850.719954067339</v>
      </c>
      <c r="M479" s="6">
        <v>7149.2800459326554</v>
      </c>
      <c r="N479" s="4" t="s">
        <v>79</v>
      </c>
      <c r="O479" s="4" t="s">
        <v>66</v>
      </c>
    </row>
    <row r="480" spans="1:15" x14ac:dyDescent="0.25">
      <c r="A480" s="4" t="s">
        <v>577</v>
      </c>
      <c r="B480" s="5">
        <v>45890</v>
      </c>
      <c r="C480" s="4" t="s">
        <v>49</v>
      </c>
      <c r="D480" s="4" t="s">
        <v>76</v>
      </c>
      <c r="E480" s="4" t="s">
        <v>84</v>
      </c>
      <c r="F480" s="4" t="s">
        <v>77</v>
      </c>
      <c r="G480" s="4" t="s">
        <v>119</v>
      </c>
      <c r="H480" s="4">
        <v>5</v>
      </c>
      <c r="I480" s="6">
        <v>8000</v>
      </c>
      <c r="J480" s="7">
        <v>0.05</v>
      </c>
      <c r="K480" s="6">
        <v>38000</v>
      </c>
      <c r="L480" s="6">
        <v>26982.774759660941</v>
      </c>
      <c r="M480" s="6">
        <v>11017.225240339059</v>
      </c>
      <c r="N480" s="4" t="s">
        <v>54</v>
      </c>
      <c r="O480" s="4" t="s">
        <v>55</v>
      </c>
    </row>
    <row r="481" spans="1:15" x14ac:dyDescent="0.25">
      <c r="A481" s="4" t="s">
        <v>578</v>
      </c>
      <c r="B481" s="5">
        <v>45933</v>
      </c>
      <c r="C481" s="4" t="s">
        <v>61</v>
      </c>
      <c r="D481" s="4" t="s">
        <v>83</v>
      </c>
      <c r="E481" s="4" t="s">
        <v>123</v>
      </c>
      <c r="F481" s="4" t="s">
        <v>52</v>
      </c>
      <c r="G481" s="4" t="s">
        <v>53</v>
      </c>
      <c r="H481" s="4">
        <v>6</v>
      </c>
      <c r="I481" s="6">
        <v>250</v>
      </c>
      <c r="J481" s="7">
        <v>0</v>
      </c>
      <c r="K481" s="6">
        <v>1500</v>
      </c>
      <c r="L481" s="6">
        <v>1052.109848996038</v>
      </c>
      <c r="M481" s="6">
        <v>447.89015100396199</v>
      </c>
      <c r="N481" s="4" t="s">
        <v>65</v>
      </c>
      <c r="O481" s="4" t="s">
        <v>55</v>
      </c>
    </row>
    <row r="482" spans="1:15" x14ac:dyDescent="0.25">
      <c r="A482" s="4" t="s">
        <v>579</v>
      </c>
      <c r="B482" s="5">
        <v>45925</v>
      </c>
      <c r="C482" s="4" t="s">
        <v>61</v>
      </c>
      <c r="D482" s="4" t="s">
        <v>100</v>
      </c>
      <c r="E482" s="4" t="s">
        <v>51</v>
      </c>
      <c r="F482" s="4" t="s">
        <v>52</v>
      </c>
      <c r="G482" s="4" t="s">
        <v>98</v>
      </c>
      <c r="H482" s="4">
        <v>7</v>
      </c>
      <c r="I482" s="6">
        <v>80</v>
      </c>
      <c r="J482" s="7">
        <v>0.05</v>
      </c>
      <c r="K482" s="6">
        <v>532</v>
      </c>
      <c r="L482" s="6">
        <v>322.22778046427533</v>
      </c>
      <c r="M482" s="6">
        <v>209.7722195357247</v>
      </c>
      <c r="N482" s="4" t="s">
        <v>65</v>
      </c>
      <c r="O482" s="4" t="s">
        <v>66</v>
      </c>
    </row>
    <row r="483" spans="1:15" x14ac:dyDescent="0.25">
      <c r="A483" s="4" t="s">
        <v>580</v>
      </c>
      <c r="B483" s="5">
        <v>45950</v>
      </c>
      <c r="C483" s="4" t="s">
        <v>61</v>
      </c>
      <c r="D483" s="4" t="s">
        <v>83</v>
      </c>
      <c r="E483" s="4" t="s">
        <v>123</v>
      </c>
      <c r="F483" s="4" t="s">
        <v>77</v>
      </c>
      <c r="G483" s="4" t="s">
        <v>158</v>
      </c>
      <c r="H483" s="4">
        <v>8</v>
      </c>
      <c r="I483" s="6">
        <v>7000</v>
      </c>
      <c r="J483" s="7">
        <v>0</v>
      </c>
      <c r="K483" s="6">
        <v>56000</v>
      </c>
      <c r="L483" s="6">
        <v>32071.946196033099</v>
      </c>
      <c r="M483" s="6">
        <v>23928.053803966901</v>
      </c>
      <c r="N483" s="4" t="s">
        <v>54</v>
      </c>
      <c r="O483" s="4" t="s">
        <v>55</v>
      </c>
    </row>
    <row r="484" spans="1:15" x14ac:dyDescent="0.25">
      <c r="A484" s="4" t="s">
        <v>581</v>
      </c>
      <c r="B484" s="5">
        <v>45764</v>
      </c>
      <c r="C484" s="4" t="s">
        <v>68</v>
      </c>
      <c r="D484" s="4" t="s">
        <v>69</v>
      </c>
      <c r="E484" s="4" t="s">
        <v>105</v>
      </c>
      <c r="F484" s="4" t="s">
        <v>52</v>
      </c>
      <c r="G484" s="4" t="s">
        <v>53</v>
      </c>
      <c r="H484" s="4">
        <v>10</v>
      </c>
      <c r="I484" s="6">
        <v>250</v>
      </c>
      <c r="J484" s="7">
        <v>0</v>
      </c>
      <c r="K484" s="6">
        <v>2500</v>
      </c>
      <c r="L484" s="6">
        <v>1382.524513154264</v>
      </c>
      <c r="M484" s="6">
        <v>1117.475486845736</v>
      </c>
      <c r="N484" s="4" t="s">
        <v>65</v>
      </c>
      <c r="O484" s="4" t="s">
        <v>55</v>
      </c>
    </row>
    <row r="485" spans="1:15" x14ac:dyDescent="0.25">
      <c r="A485" s="4" t="s">
        <v>582</v>
      </c>
      <c r="B485" s="5">
        <v>45794</v>
      </c>
      <c r="C485" s="4" t="s">
        <v>49</v>
      </c>
      <c r="D485" s="4" t="s">
        <v>72</v>
      </c>
      <c r="E485" s="4" t="s">
        <v>84</v>
      </c>
      <c r="F485" s="4" t="s">
        <v>85</v>
      </c>
      <c r="G485" s="4" t="s">
        <v>116</v>
      </c>
      <c r="H485" s="4">
        <v>13</v>
      </c>
      <c r="I485" s="6">
        <v>3000</v>
      </c>
      <c r="J485" s="7">
        <v>0</v>
      </c>
      <c r="K485" s="6">
        <v>39000</v>
      </c>
      <c r="L485" s="6">
        <v>28838.077407508281</v>
      </c>
      <c r="M485" s="6">
        <v>10161.922592491719</v>
      </c>
      <c r="N485" s="4" t="s">
        <v>54</v>
      </c>
      <c r="O485" s="4" t="s">
        <v>74</v>
      </c>
    </row>
    <row r="486" spans="1:15" x14ac:dyDescent="0.25">
      <c r="A486" s="4" t="s">
        <v>583</v>
      </c>
      <c r="B486" s="5">
        <v>45755</v>
      </c>
      <c r="C486" s="4" t="s">
        <v>68</v>
      </c>
      <c r="D486" s="4" t="s">
        <v>69</v>
      </c>
      <c r="E486" s="4" t="s">
        <v>57</v>
      </c>
      <c r="F486" s="4" t="s">
        <v>77</v>
      </c>
      <c r="G486" s="4" t="s">
        <v>158</v>
      </c>
      <c r="H486" s="4">
        <v>2</v>
      </c>
      <c r="I486" s="6">
        <v>7000</v>
      </c>
      <c r="J486" s="7">
        <v>0</v>
      </c>
      <c r="K486" s="6">
        <v>14000</v>
      </c>
      <c r="L486" s="6">
        <v>9411.9485855159619</v>
      </c>
      <c r="M486" s="6">
        <v>4588.0514144840381</v>
      </c>
      <c r="N486" s="4" t="s">
        <v>54</v>
      </c>
      <c r="O486" s="4" t="s">
        <v>66</v>
      </c>
    </row>
    <row r="487" spans="1:15" x14ac:dyDescent="0.25">
      <c r="A487" s="4" t="s">
        <v>584</v>
      </c>
      <c r="B487" s="5">
        <v>45892</v>
      </c>
      <c r="C487" s="4" t="s">
        <v>61</v>
      </c>
      <c r="D487" s="4" t="s">
        <v>100</v>
      </c>
      <c r="E487" s="4" t="s">
        <v>123</v>
      </c>
      <c r="F487" s="4" t="s">
        <v>85</v>
      </c>
      <c r="G487" s="4" t="s">
        <v>106</v>
      </c>
      <c r="H487" s="4">
        <v>13</v>
      </c>
      <c r="I487" s="6">
        <v>900</v>
      </c>
      <c r="J487" s="7">
        <v>0.15</v>
      </c>
      <c r="K487" s="6">
        <v>9945</v>
      </c>
      <c r="L487" s="6">
        <v>7398.2794175599483</v>
      </c>
      <c r="M487" s="6">
        <v>2546.7205824400521</v>
      </c>
      <c r="N487" s="4" t="s">
        <v>65</v>
      </c>
      <c r="O487" s="4" t="s">
        <v>66</v>
      </c>
    </row>
    <row r="488" spans="1:15" x14ac:dyDescent="0.25">
      <c r="A488" s="4" t="s">
        <v>585</v>
      </c>
      <c r="B488" s="5">
        <v>45965</v>
      </c>
      <c r="C488" s="4" t="s">
        <v>61</v>
      </c>
      <c r="D488" s="4" t="s">
        <v>100</v>
      </c>
      <c r="E488" s="4" t="s">
        <v>105</v>
      </c>
      <c r="F488" s="4" t="s">
        <v>85</v>
      </c>
      <c r="G488" s="4" t="s">
        <v>116</v>
      </c>
      <c r="H488" s="4">
        <v>11</v>
      </c>
      <c r="I488" s="6">
        <v>3000</v>
      </c>
      <c r="J488" s="7">
        <v>0</v>
      </c>
      <c r="K488" s="6">
        <v>33000</v>
      </c>
      <c r="L488" s="6">
        <v>22202.304620281691</v>
      </c>
      <c r="M488" s="6">
        <v>10797.695379718311</v>
      </c>
      <c r="N488" s="4" t="s">
        <v>79</v>
      </c>
      <c r="O488" s="4" t="s">
        <v>80</v>
      </c>
    </row>
    <row r="489" spans="1:15" x14ac:dyDescent="0.25">
      <c r="A489" s="4" t="s">
        <v>586</v>
      </c>
      <c r="B489" s="5">
        <v>45946</v>
      </c>
      <c r="C489" s="4" t="s">
        <v>68</v>
      </c>
      <c r="D489" s="4" t="s">
        <v>88</v>
      </c>
      <c r="E489" s="4" t="s">
        <v>57</v>
      </c>
      <c r="F489" s="4" t="s">
        <v>85</v>
      </c>
      <c r="G489" s="4" t="s">
        <v>86</v>
      </c>
      <c r="H489" s="4">
        <v>14</v>
      </c>
      <c r="I489" s="6">
        <v>1200</v>
      </c>
      <c r="J489" s="7">
        <v>0.05</v>
      </c>
      <c r="K489" s="6">
        <v>15960</v>
      </c>
      <c r="L489" s="6">
        <v>11590.9092626732</v>
      </c>
      <c r="M489" s="6">
        <v>4369.0907373268001</v>
      </c>
      <c r="N489" s="4" t="s">
        <v>79</v>
      </c>
      <c r="O489" s="4" t="s">
        <v>80</v>
      </c>
    </row>
    <row r="490" spans="1:15" x14ac:dyDescent="0.25">
      <c r="A490" s="4" t="s">
        <v>587</v>
      </c>
      <c r="B490" s="5">
        <v>45963</v>
      </c>
      <c r="C490" s="4" t="s">
        <v>68</v>
      </c>
      <c r="D490" s="4" t="s">
        <v>88</v>
      </c>
      <c r="E490" s="4" t="s">
        <v>84</v>
      </c>
      <c r="F490" s="4" t="s">
        <v>85</v>
      </c>
      <c r="G490" s="4" t="s">
        <v>86</v>
      </c>
      <c r="H490" s="4">
        <v>1</v>
      </c>
      <c r="I490" s="6">
        <v>1200</v>
      </c>
      <c r="J490" s="7">
        <v>0</v>
      </c>
      <c r="K490" s="6">
        <v>1200</v>
      </c>
      <c r="L490" s="6">
        <v>931.29598604527928</v>
      </c>
      <c r="M490" s="6">
        <v>268.70401395472072</v>
      </c>
      <c r="N490" s="4" t="s">
        <v>54</v>
      </c>
      <c r="O490" s="4" t="s">
        <v>66</v>
      </c>
    </row>
    <row r="491" spans="1:15" x14ac:dyDescent="0.25">
      <c r="A491" s="4" t="s">
        <v>588</v>
      </c>
      <c r="B491" s="5">
        <v>46011</v>
      </c>
      <c r="C491" s="4" t="s">
        <v>68</v>
      </c>
      <c r="D491" s="4" t="s">
        <v>69</v>
      </c>
      <c r="E491" s="4" t="s">
        <v>63</v>
      </c>
      <c r="F491" s="4" t="s">
        <v>52</v>
      </c>
      <c r="G491" s="4" t="s">
        <v>53</v>
      </c>
      <c r="H491" s="4">
        <v>4</v>
      </c>
      <c r="I491" s="6">
        <v>250</v>
      </c>
      <c r="J491" s="7">
        <v>0.05</v>
      </c>
      <c r="K491" s="6">
        <v>950</v>
      </c>
      <c r="L491" s="6">
        <v>554.99131543524788</v>
      </c>
      <c r="M491" s="6">
        <v>395.00868456475212</v>
      </c>
      <c r="N491" s="4" t="s">
        <v>54</v>
      </c>
      <c r="O491" s="4" t="s">
        <v>66</v>
      </c>
    </row>
    <row r="492" spans="1:15" x14ac:dyDescent="0.25">
      <c r="A492" s="4" t="s">
        <v>589</v>
      </c>
      <c r="B492" s="5">
        <v>45956</v>
      </c>
      <c r="C492" s="4" t="s">
        <v>49</v>
      </c>
      <c r="D492" s="4" t="s">
        <v>50</v>
      </c>
      <c r="E492" s="4" t="s">
        <v>57</v>
      </c>
      <c r="F492" s="4" t="s">
        <v>85</v>
      </c>
      <c r="G492" s="4" t="s">
        <v>116</v>
      </c>
      <c r="H492" s="4">
        <v>3</v>
      </c>
      <c r="I492" s="6">
        <v>3000</v>
      </c>
      <c r="J492" s="7">
        <v>0</v>
      </c>
      <c r="K492" s="6">
        <v>9000</v>
      </c>
      <c r="L492" s="6">
        <v>5498.5255310674129</v>
      </c>
      <c r="M492" s="6">
        <v>3501.4744689325871</v>
      </c>
      <c r="N492" s="4" t="s">
        <v>65</v>
      </c>
      <c r="O492" s="4" t="s">
        <v>80</v>
      </c>
    </row>
    <row r="493" spans="1:15" x14ac:dyDescent="0.25">
      <c r="A493" s="4" t="s">
        <v>590</v>
      </c>
      <c r="B493" s="5">
        <v>45905</v>
      </c>
      <c r="C493" s="4" t="s">
        <v>68</v>
      </c>
      <c r="D493" s="4" t="s">
        <v>69</v>
      </c>
      <c r="E493" s="4" t="s">
        <v>131</v>
      </c>
      <c r="F493" s="4" t="s">
        <v>85</v>
      </c>
      <c r="G493" s="4" t="s">
        <v>92</v>
      </c>
      <c r="H493" s="4">
        <v>12</v>
      </c>
      <c r="I493" s="6">
        <v>2200</v>
      </c>
      <c r="J493" s="7">
        <v>0</v>
      </c>
      <c r="K493" s="6">
        <v>26400</v>
      </c>
      <c r="L493" s="6">
        <v>18913.580958392689</v>
      </c>
      <c r="M493" s="6">
        <v>7486.419041607307</v>
      </c>
      <c r="N493" s="4" t="s">
        <v>79</v>
      </c>
      <c r="O493" s="4" t="s">
        <v>74</v>
      </c>
    </row>
    <row r="494" spans="1:15" x14ac:dyDescent="0.25">
      <c r="A494" s="4" t="s">
        <v>591</v>
      </c>
      <c r="B494" s="5">
        <v>45829</v>
      </c>
      <c r="C494" s="4" t="s">
        <v>68</v>
      </c>
      <c r="D494" s="4" t="s">
        <v>69</v>
      </c>
      <c r="E494" s="4" t="s">
        <v>101</v>
      </c>
      <c r="F494" s="4" t="s">
        <v>85</v>
      </c>
      <c r="G494" s="4" t="s">
        <v>106</v>
      </c>
      <c r="H494" s="4">
        <v>13</v>
      </c>
      <c r="I494" s="6">
        <v>900</v>
      </c>
      <c r="J494" s="7">
        <v>0</v>
      </c>
      <c r="K494" s="6">
        <v>11700</v>
      </c>
      <c r="L494" s="6">
        <v>8915.7561971358646</v>
      </c>
      <c r="M494" s="6">
        <v>2784.243802864135</v>
      </c>
      <c r="N494" s="4" t="s">
        <v>79</v>
      </c>
      <c r="O494" s="4" t="s">
        <v>55</v>
      </c>
    </row>
    <row r="495" spans="1:15" x14ac:dyDescent="0.25">
      <c r="A495" s="4" t="s">
        <v>592</v>
      </c>
      <c r="B495" s="5">
        <v>45821</v>
      </c>
      <c r="C495" s="4" t="s">
        <v>49</v>
      </c>
      <c r="D495" s="4" t="s">
        <v>50</v>
      </c>
      <c r="E495" s="4" t="s">
        <v>131</v>
      </c>
      <c r="F495" s="4" t="s">
        <v>58</v>
      </c>
      <c r="G495" s="4" t="s">
        <v>70</v>
      </c>
      <c r="H495" s="4">
        <v>1</v>
      </c>
      <c r="I495" s="6">
        <v>9000</v>
      </c>
      <c r="J495" s="7">
        <v>0.05</v>
      </c>
      <c r="K495" s="6">
        <v>8550</v>
      </c>
      <c r="L495" s="6">
        <v>6035.4735376331764</v>
      </c>
      <c r="M495" s="6">
        <v>2514.526462366824</v>
      </c>
      <c r="N495" s="4" t="s">
        <v>79</v>
      </c>
      <c r="O495" s="4" t="s">
        <v>66</v>
      </c>
    </row>
    <row r="496" spans="1:15" x14ac:dyDescent="0.25">
      <c r="A496" s="4" t="s">
        <v>593</v>
      </c>
      <c r="B496" s="5">
        <v>45704</v>
      </c>
      <c r="C496" s="4" t="s">
        <v>61</v>
      </c>
      <c r="D496" s="4" t="s">
        <v>83</v>
      </c>
      <c r="E496" s="4" t="s">
        <v>57</v>
      </c>
      <c r="F496" s="4" t="s">
        <v>85</v>
      </c>
      <c r="G496" s="4" t="s">
        <v>86</v>
      </c>
      <c r="H496" s="4">
        <v>13</v>
      </c>
      <c r="I496" s="6">
        <v>1200</v>
      </c>
      <c r="J496" s="7">
        <v>0.15</v>
      </c>
      <c r="K496" s="6">
        <v>13260</v>
      </c>
      <c r="L496" s="6">
        <v>10644.01441561408</v>
      </c>
      <c r="M496" s="6">
        <v>2615.9855843859241</v>
      </c>
      <c r="N496" s="4" t="s">
        <v>79</v>
      </c>
      <c r="O496" s="4" t="s">
        <v>80</v>
      </c>
    </row>
    <row r="497" spans="1:15" x14ac:dyDescent="0.25">
      <c r="A497" s="4" t="s">
        <v>594</v>
      </c>
      <c r="B497" s="5">
        <v>45683</v>
      </c>
      <c r="C497" s="4" t="s">
        <v>90</v>
      </c>
      <c r="D497" s="4" t="s">
        <v>114</v>
      </c>
      <c r="E497" s="4" t="s">
        <v>123</v>
      </c>
      <c r="F497" s="4" t="s">
        <v>77</v>
      </c>
      <c r="G497" s="4" t="s">
        <v>78</v>
      </c>
      <c r="H497" s="4">
        <v>2</v>
      </c>
      <c r="I497" s="6">
        <v>6500</v>
      </c>
      <c r="J497" s="7">
        <v>0.1</v>
      </c>
      <c r="K497" s="6">
        <v>11700</v>
      </c>
      <c r="L497" s="6">
        <v>8858.6073656267818</v>
      </c>
      <c r="M497" s="6">
        <v>2841.3926343732178</v>
      </c>
      <c r="N497" s="4" t="s">
        <v>79</v>
      </c>
      <c r="O497" s="4" t="s">
        <v>74</v>
      </c>
    </row>
    <row r="498" spans="1:15" x14ac:dyDescent="0.25">
      <c r="A498" s="4" t="s">
        <v>595</v>
      </c>
      <c r="B498" s="5">
        <v>45759</v>
      </c>
      <c r="C498" s="4" t="s">
        <v>90</v>
      </c>
      <c r="D498" s="4" t="s">
        <v>91</v>
      </c>
      <c r="E498" s="4" t="s">
        <v>105</v>
      </c>
      <c r="F498" s="4" t="s">
        <v>85</v>
      </c>
      <c r="G498" s="4" t="s">
        <v>92</v>
      </c>
      <c r="H498" s="4">
        <v>13</v>
      </c>
      <c r="I498" s="6">
        <v>2200</v>
      </c>
      <c r="J498" s="7">
        <v>0</v>
      </c>
      <c r="K498" s="6">
        <v>28600</v>
      </c>
      <c r="L498" s="6">
        <v>18893.50821799822</v>
      </c>
      <c r="M498" s="6">
        <v>9706.4917820017763</v>
      </c>
      <c r="N498" s="4" t="s">
        <v>79</v>
      </c>
      <c r="O498" s="4" t="s">
        <v>66</v>
      </c>
    </row>
    <row r="499" spans="1:15" x14ac:dyDescent="0.25">
      <c r="A499" s="4" t="s">
        <v>596</v>
      </c>
      <c r="B499" s="5">
        <v>45952</v>
      </c>
      <c r="C499" s="4" t="s">
        <v>61</v>
      </c>
      <c r="D499" s="4" t="s">
        <v>83</v>
      </c>
      <c r="E499" s="4" t="s">
        <v>51</v>
      </c>
      <c r="F499" s="4" t="s">
        <v>58</v>
      </c>
      <c r="G499" s="4" t="s">
        <v>73</v>
      </c>
      <c r="H499" s="4">
        <v>13</v>
      </c>
      <c r="I499" s="6">
        <v>1800</v>
      </c>
      <c r="J499" s="7">
        <v>0.1</v>
      </c>
      <c r="K499" s="6">
        <v>21060</v>
      </c>
      <c r="L499" s="6">
        <v>14610.601452702729</v>
      </c>
      <c r="M499" s="6">
        <v>6449.3985472972709</v>
      </c>
      <c r="N499" s="4" t="s">
        <v>65</v>
      </c>
      <c r="O499" s="4" t="s">
        <v>55</v>
      </c>
    </row>
    <row r="500" spans="1:15" x14ac:dyDescent="0.25">
      <c r="A500" s="4" t="s">
        <v>597</v>
      </c>
      <c r="B500" s="5">
        <v>45670</v>
      </c>
      <c r="C500" s="4" t="s">
        <v>90</v>
      </c>
      <c r="D500" s="4" t="s">
        <v>94</v>
      </c>
      <c r="E500" s="4" t="s">
        <v>63</v>
      </c>
      <c r="F500" s="4" t="s">
        <v>52</v>
      </c>
      <c r="G500" s="4" t="s">
        <v>53</v>
      </c>
      <c r="H500" s="4">
        <v>6</v>
      </c>
      <c r="I500" s="6">
        <v>250</v>
      </c>
      <c r="J500" s="7">
        <v>0.05</v>
      </c>
      <c r="K500" s="6">
        <v>1425</v>
      </c>
      <c r="L500" s="6">
        <v>1029.887616419169</v>
      </c>
      <c r="M500" s="6">
        <v>395.11238358083068</v>
      </c>
      <c r="N500" s="4" t="s">
        <v>65</v>
      </c>
      <c r="O500" s="4" t="s">
        <v>80</v>
      </c>
    </row>
    <row r="501" spans="1:15" x14ac:dyDescent="0.25">
      <c r="A501" s="4" t="s">
        <v>598</v>
      </c>
      <c r="B501" s="5">
        <v>45849</v>
      </c>
      <c r="C501" s="4" t="s">
        <v>90</v>
      </c>
      <c r="D501" s="4" t="s">
        <v>91</v>
      </c>
      <c r="E501" s="4" t="s">
        <v>131</v>
      </c>
      <c r="F501" s="4" t="s">
        <v>77</v>
      </c>
      <c r="G501" s="4" t="s">
        <v>119</v>
      </c>
      <c r="H501" s="4">
        <v>1</v>
      </c>
      <c r="I501" s="6">
        <v>8000</v>
      </c>
      <c r="J501" s="7">
        <v>0</v>
      </c>
      <c r="K501" s="6">
        <v>8000</v>
      </c>
      <c r="L501" s="6">
        <v>4767.420793034591</v>
      </c>
      <c r="M501" s="6">
        <v>3232.579206965409</v>
      </c>
      <c r="N501" s="4" t="s">
        <v>54</v>
      </c>
      <c r="O501" s="4" t="s">
        <v>74</v>
      </c>
    </row>
  </sheetData>
  <conditionalFormatting sqref="M2:M501">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0"/>
  <sheetViews>
    <sheetView showGridLines="0" workbookViewId="0">
      <pane ySplit="1" topLeftCell="A48" activePane="bottomLeft" state="frozen"/>
      <selection pane="bottomLeft" activeCell="G17" sqref="G17"/>
    </sheetView>
  </sheetViews>
  <sheetFormatPr defaultRowHeight="15" x14ac:dyDescent="0.25"/>
  <cols>
    <col min="1" max="1" width="7" customWidth="1"/>
    <col min="2" max="2" width="14" customWidth="1"/>
    <col min="3" max="3" width="18" customWidth="1"/>
    <col min="4" max="4" width="58" customWidth="1"/>
    <col min="5" max="5" width="34" customWidth="1"/>
    <col min="6" max="6" width="28" customWidth="1"/>
    <col min="7" max="7" width="35" customWidth="1"/>
    <col min="8" max="8" width="12.28515625" bestFit="1" customWidth="1"/>
  </cols>
  <sheetData>
    <row r="1" spans="1:8" x14ac:dyDescent="0.25">
      <c r="A1" s="11" t="s">
        <v>838</v>
      </c>
      <c r="B1" s="11" t="s">
        <v>839</v>
      </c>
      <c r="C1" s="11" t="s">
        <v>840</v>
      </c>
      <c r="D1" s="11" t="s">
        <v>841</v>
      </c>
      <c r="E1" s="11" t="s">
        <v>842</v>
      </c>
      <c r="F1" s="11" t="s">
        <v>843</v>
      </c>
      <c r="G1" s="11" t="s">
        <v>844</v>
      </c>
    </row>
    <row r="2" spans="1:8" x14ac:dyDescent="0.25">
      <c r="A2" s="12">
        <v>1</v>
      </c>
      <c r="B2" s="12" t="s">
        <v>845</v>
      </c>
      <c r="C2" s="12" t="s">
        <v>846</v>
      </c>
      <c r="D2" s="12" t="s">
        <v>847</v>
      </c>
      <c r="E2" s="12" t="s">
        <v>43</v>
      </c>
      <c r="F2" s="12" t="s">
        <v>846</v>
      </c>
      <c r="G2" s="16">
        <f>SUM(SalesData[Revenue])</f>
        <v>24847359</v>
      </c>
    </row>
    <row r="3" spans="1:8" x14ac:dyDescent="0.25">
      <c r="A3" s="12">
        <v>2</v>
      </c>
      <c r="B3" s="12" t="s">
        <v>845</v>
      </c>
      <c r="C3" s="12" t="s">
        <v>848</v>
      </c>
      <c r="D3" s="12" t="s">
        <v>849</v>
      </c>
      <c r="E3" s="12" t="s">
        <v>43</v>
      </c>
      <c r="F3" s="12" t="s">
        <v>848</v>
      </c>
      <c r="G3" s="17">
        <f>AVERAGE(Raw_Sales_Data!K2:K501)</f>
        <v>49694.718000000001</v>
      </c>
    </row>
    <row r="4" spans="1:8" x14ac:dyDescent="0.25">
      <c r="A4" s="12">
        <v>3</v>
      </c>
      <c r="B4" s="12" t="s">
        <v>845</v>
      </c>
      <c r="C4" s="12" t="s">
        <v>850</v>
      </c>
      <c r="D4" s="12" t="s">
        <v>851</v>
      </c>
      <c r="E4" s="12" t="s">
        <v>45</v>
      </c>
      <c r="F4" s="12" t="s">
        <v>852</v>
      </c>
      <c r="G4" s="18">
        <f>MIN(SalesData[Profit])</f>
        <v>29.234865774691709</v>
      </c>
      <c r="H4" s="18">
        <f>MAX(SalesData[Profit])</f>
        <v>255322.31157264399</v>
      </c>
    </row>
    <row r="5" spans="1:8" x14ac:dyDescent="0.25">
      <c r="A5" s="12">
        <v>4</v>
      </c>
      <c r="B5" s="12" t="s">
        <v>845</v>
      </c>
      <c r="C5" s="12" t="s">
        <v>853</v>
      </c>
      <c r="D5" s="12" t="s">
        <v>854</v>
      </c>
      <c r="E5" s="12" t="s">
        <v>855</v>
      </c>
      <c r="F5" s="12" t="s">
        <v>853</v>
      </c>
      <c r="G5" s="12">
        <f>COUNT(SalesData[Order_ID])</f>
        <v>0</v>
      </c>
      <c r="H5" s="12">
        <f>COUNTA(SalesData[Order_ID])</f>
        <v>500</v>
      </c>
    </row>
    <row r="6" spans="1:8" x14ac:dyDescent="0.25">
      <c r="A6" s="12">
        <v>5</v>
      </c>
      <c r="B6" s="12" t="s">
        <v>845</v>
      </c>
      <c r="C6" s="12" t="s">
        <v>856</v>
      </c>
      <c r="D6" s="12" t="s">
        <v>857</v>
      </c>
      <c r="E6" s="12" t="s">
        <v>43</v>
      </c>
      <c r="F6" s="12" t="s">
        <v>856</v>
      </c>
      <c r="G6" s="18"/>
    </row>
    <row r="7" spans="1:8" x14ac:dyDescent="0.25">
      <c r="A7" s="12">
        <v>6</v>
      </c>
      <c r="B7" s="12" t="s">
        <v>845</v>
      </c>
      <c r="C7" s="12" t="s">
        <v>858</v>
      </c>
      <c r="D7" s="12" t="s">
        <v>859</v>
      </c>
      <c r="E7" s="12" t="s">
        <v>45</v>
      </c>
      <c r="F7" s="12" t="s">
        <v>858</v>
      </c>
      <c r="G7" s="12" t="str">
        <f>IF(Raw_Sales_Data!M2&gt;100,"Profit","Loss")</f>
        <v>Profit</v>
      </c>
    </row>
    <row r="8" spans="1:8" x14ac:dyDescent="0.25">
      <c r="A8" s="12">
        <v>7</v>
      </c>
      <c r="B8" s="12" t="s">
        <v>845</v>
      </c>
      <c r="C8" s="12" t="s">
        <v>860</v>
      </c>
      <c r="D8" s="12" t="s">
        <v>861</v>
      </c>
      <c r="E8" s="12" t="s">
        <v>862</v>
      </c>
      <c r="F8" s="12" t="s">
        <v>863</v>
      </c>
      <c r="G8" s="12" t="str">
        <f>IF(AND(Raw_Sales_Data!H2&gt;10,Raw_Sales_Data!J2&gt;10%),"Yes","No")</f>
        <v>No</v>
      </c>
    </row>
    <row r="9" spans="1:8" x14ac:dyDescent="0.25">
      <c r="A9" s="12">
        <v>8</v>
      </c>
      <c r="B9" s="12" t="s">
        <v>845</v>
      </c>
      <c r="C9" s="12" t="s">
        <v>864</v>
      </c>
      <c r="D9" s="12" t="s">
        <v>865</v>
      </c>
      <c r="E9" s="12" t="s">
        <v>35</v>
      </c>
      <c r="F9" s="12" t="s">
        <v>866</v>
      </c>
      <c r="G9" s="12" t="str">
        <f>IF(OR(Raw_Sales_Data!C2="West",Raw_Sales_Data!C2="south"),"Yes","No")</f>
        <v>Yes</v>
      </c>
    </row>
    <row r="10" spans="1:8" x14ac:dyDescent="0.25">
      <c r="A10" s="12">
        <v>9</v>
      </c>
      <c r="B10" s="12" t="s">
        <v>867</v>
      </c>
      <c r="C10" s="12" t="s">
        <v>868</v>
      </c>
      <c r="D10" s="12" t="s">
        <v>869</v>
      </c>
      <c r="E10" s="12" t="s">
        <v>870</v>
      </c>
      <c r="F10" s="12" t="s">
        <v>868</v>
      </c>
      <c r="G10" s="18">
        <f>SUMIF(SalesData[Region],"West",SalesData[Revenue])</f>
        <v>7196940.5</v>
      </c>
    </row>
    <row r="11" spans="1:8" x14ac:dyDescent="0.25">
      <c r="A11" s="12">
        <v>10</v>
      </c>
      <c r="B11" s="12" t="s">
        <v>867</v>
      </c>
      <c r="C11" s="12" t="s">
        <v>871</v>
      </c>
      <c r="D11" s="12" t="s">
        <v>872</v>
      </c>
      <c r="E11" s="12" t="s">
        <v>873</v>
      </c>
      <c r="F11" s="12" t="s">
        <v>871</v>
      </c>
      <c r="G11" s="18">
        <f>SUMIFS(SalesData[Revenue],SalesData[Region],"West",SalesData[Category],"Electronics")</f>
        <v>4466780</v>
      </c>
    </row>
    <row r="12" spans="1:8" ht="30" x14ac:dyDescent="0.25">
      <c r="A12" s="12">
        <v>11</v>
      </c>
      <c r="B12" s="12" t="s">
        <v>867</v>
      </c>
      <c r="C12" s="12" t="s">
        <v>871</v>
      </c>
      <c r="D12" s="12" t="s">
        <v>874</v>
      </c>
      <c r="E12" s="12" t="s">
        <v>875</v>
      </c>
      <c r="F12" s="12" t="s">
        <v>871</v>
      </c>
      <c r="G12" s="18">
        <f>SUMIFS(SalesData[Profit],SalesData[Customer_Type],"Corporate",SalesData[Payment_Mode],"UPI")</f>
        <v>957574.74537710485</v>
      </c>
    </row>
    <row r="13" spans="1:8" x14ac:dyDescent="0.25">
      <c r="A13" s="12">
        <v>12</v>
      </c>
      <c r="B13" s="12" t="s">
        <v>867</v>
      </c>
      <c r="C13" s="12" t="s">
        <v>876</v>
      </c>
      <c r="D13" s="12" t="s">
        <v>877</v>
      </c>
      <c r="E13" s="12" t="s">
        <v>42</v>
      </c>
      <c r="F13" s="12" t="s">
        <v>876</v>
      </c>
      <c r="G13" s="12">
        <f>COUNTIF(Raw_Sales_Data!J481:J501,"10"%)</f>
        <v>2</v>
      </c>
    </row>
    <row r="14" spans="1:8" x14ac:dyDescent="0.25">
      <c r="A14" s="12">
        <v>13</v>
      </c>
      <c r="B14" s="12" t="s">
        <v>867</v>
      </c>
      <c r="C14" s="12" t="s">
        <v>878</v>
      </c>
      <c r="D14" s="12" t="s">
        <v>879</v>
      </c>
      <c r="E14" s="12" t="s">
        <v>880</v>
      </c>
      <c r="F14" s="12" t="s">
        <v>878</v>
      </c>
      <c r="G14" s="12">
        <f>COUNTIFS(SalesData[Region],"South",SalesData[Customer_Type],"Corporate")</f>
        <v>37</v>
      </c>
    </row>
    <row r="15" spans="1:8" x14ac:dyDescent="0.25">
      <c r="A15" s="12">
        <v>14</v>
      </c>
      <c r="B15" s="12" t="s">
        <v>867</v>
      </c>
      <c r="C15" s="12" t="s">
        <v>881</v>
      </c>
      <c r="D15" s="12" t="s">
        <v>882</v>
      </c>
      <c r="E15" s="12" t="s">
        <v>883</v>
      </c>
      <c r="F15" s="12" t="s">
        <v>881</v>
      </c>
      <c r="G15" s="18">
        <f>AVERAGEIF(SalesData[Category],"Electronics",SalesData[Profit])</f>
        <v>38119.556731935561</v>
      </c>
    </row>
    <row r="16" spans="1:8" x14ac:dyDescent="0.25">
      <c r="A16" s="12">
        <v>15</v>
      </c>
      <c r="B16" s="12" t="s">
        <v>867</v>
      </c>
      <c r="C16" s="12" t="s">
        <v>884</v>
      </c>
      <c r="D16" s="12" t="s">
        <v>885</v>
      </c>
      <c r="E16" s="12" t="s">
        <v>886</v>
      </c>
      <c r="F16" s="12" t="s">
        <v>884</v>
      </c>
      <c r="G16" s="18">
        <f>AVERAGEIFS(SalesData[Revenue],SalesData[Region],"West",SalesData[Customer_Type],"Retail")</f>
        <v>55694.724999999999</v>
      </c>
    </row>
    <row r="17" spans="1:7" x14ac:dyDescent="0.25">
      <c r="A17" s="12">
        <v>16</v>
      </c>
      <c r="B17" s="12" t="s">
        <v>867</v>
      </c>
      <c r="C17" s="12" t="s">
        <v>887</v>
      </c>
      <c r="D17" s="12" t="s">
        <v>888</v>
      </c>
      <c r="E17" s="12" t="s">
        <v>39</v>
      </c>
      <c r="F17" s="12" t="s">
        <v>887</v>
      </c>
      <c r="G17" s="12"/>
    </row>
    <row r="18" spans="1:7" x14ac:dyDescent="0.25">
      <c r="A18" s="12">
        <v>17</v>
      </c>
      <c r="B18" s="12" t="s">
        <v>867</v>
      </c>
      <c r="C18" s="12" t="s">
        <v>889</v>
      </c>
      <c r="D18" s="12" t="s">
        <v>890</v>
      </c>
      <c r="E18" s="12" t="s">
        <v>43</v>
      </c>
      <c r="F18" s="12" t="s">
        <v>889</v>
      </c>
      <c r="G18" s="12"/>
    </row>
    <row r="19" spans="1:7" x14ac:dyDescent="0.25">
      <c r="A19" s="12">
        <v>18</v>
      </c>
      <c r="B19" s="12" t="s">
        <v>867</v>
      </c>
      <c r="C19" s="12" t="s">
        <v>891</v>
      </c>
      <c r="D19" s="12" t="s">
        <v>892</v>
      </c>
      <c r="E19" s="12" t="s">
        <v>45</v>
      </c>
      <c r="F19" s="12" t="s">
        <v>891</v>
      </c>
      <c r="G19" s="12"/>
    </row>
    <row r="20" spans="1:7" x14ac:dyDescent="0.25">
      <c r="A20" s="12">
        <v>19</v>
      </c>
      <c r="B20" s="12" t="s">
        <v>867</v>
      </c>
      <c r="C20" s="12" t="s">
        <v>893</v>
      </c>
      <c r="D20" s="12" t="s">
        <v>894</v>
      </c>
      <c r="E20" s="12" t="s">
        <v>33</v>
      </c>
      <c r="F20" s="12" t="s">
        <v>895</v>
      </c>
      <c r="G20" s="12"/>
    </row>
    <row r="21" spans="1:7" x14ac:dyDescent="0.25">
      <c r="A21" s="12">
        <v>20</v>
      </c>
      <c r="B21" s="12" t="s">
        <v>867</v>
      </c>
      <c r="C21" s="12" t="s">
        <v>893</v>
      </c>
      <c r="D21" s="12" t="s">
        <v>896</v>
      </c>
      <c r="E21" s="12" t="s">
        <v>33</v>
      </c>
      <c r="F21" s="12" t="s">
        <v>897</v>
      </c>
      <c r="G21" s="12"/>
    </row>
    <row r="22" spans="1:7" x14ac:dyDescent="0.25">
      <c r="A22" s="12">
        <v>21</v>
      </c>
      <c r="B22" s="12" t="s">
        <v>867</v>
      </c>
      <c r="C22" s="12" t="s">
        <v>893</v>
      </c>
      <c r="D22" s="12" t="s">
        <v>898</v>
      </c>
      <c r="E22" s="12" t="s">
        <v>33</v>
      </c>
      <c r="F22" s="12" t="s">
        <v>899</v>
      </c>
      <c r="G22" s="12"/>
    </row>
    <row r="23" spans="1:7" x14ac:dyDescent="0.25">
      <c r="A23" s="12">
        <v>22</v>
      </c>
      <c r="B23" s="12" t="s">
        <v>867</v>
      </c>
      <c r="C23" s="12" t="s">
        <v>893</v>
      </c>
      <c r="D23" s="12" t="s">
        <v>900</v>
      </c>
      <c r="E23" s="12" t="s">
        <v>901</v>
      </c>
      <c r="F23" s="12" t="s">
        <v>902</v>
      </c>
      <c r="G23" s="12"/>
    </row>
    <row r="24" spans="1:7" x14ac:dyDescent="0.25">
      <c r="A24" s="12">
        <v>23</v>
      </c>
      <c r="B24" s="12" t="s">
        <v>867</v>
      </c>
      <c r="C24" s="12" t="s">
        <v>893</v>
      </c>
      <c r="D24" s="12" t="s">
        <v>903</v>
      </c>
      <c r="E24" s="12" t="s">
        <v>751</v>
      </c>
      <c r="F24" s="12" t="s">
        <v>904</v>
      </c>
      <c r="G24" s="12"/>
    </row>
    <row r="25" spans="1:7" x14ac:dyDescent="0.25">
      <c r="A25" s="12">
        <v>24</v>
      </c>
      <c r="B25" s="12" t="s">
        <v>867</v>
      </c>
      <c r="C25" s="12" t="s">
        <v>893</v>
      </c>
      <c r="D25" s="12" t="s">
        <v>905</v>
      </c>
      <c r="E25" s="12" t="s">
        <v>754</v>
      </c>
      <c r="F25" s="12" t="s">
        <v>906</v>
      </c>
      <c r="G25" s="12"/>
    </row>
    <row r="26" spans="1:7" x14ac:dyDescent="0.25">
      <c r="A26" s="12">
        <v>25</v>
      </c>
      <c r="B26" s="12" t="s">
        <v>867</v>
      </c>
      <c r="C26" s="12" t="s">
        <v>893</v>
      </c>
      <c r="D26" s="12" t="s">
        <v>907</v>
      </c>
      <c r="E26" s="12" t="s">
        <v>908</v>
      </c>
      <c r="F26" s="12" t="s">
        <v>909</v>
      </c>
      <c r="G26" s="12"/>
    </row>
    <row r="27" spans="1:7" x14ac:dyDescent="0.25">
      <c r="A27" s="12">
        <v>26</v>
      </c>
      <c r="B27" s="12" t="s">
        <v>867</v>
      </c>
      <c r="C27" s="12" t="s">
        <v>910</v>
      </c>
      <c r="D27" s="12" t="s">
        <v>911</v>
      </c>
      <c r="E27" s="12" t="s">
        <v>34</v>
      </c>
      <c r="F27" s="12" t="s">
        <v>912</v>
      </c>
      <c r="G27" s="12"/>
    </row>
    <row r="28" spans="1:7" x14ac:dyDescent="0.25">
      <c r="A28" s="12">
        <v>27</v>
      </c>
      <c r="B28" s="12" t="s">
        <v>867</v>
      </c>
      <c r="C28" s="12" t="s">
        <v>910</v>
      </c>
      <c r="D28" s="12" t="s">
        <v>913</v>
      </c>
      <c r="E28" s="12" t="s">
        <v>34</v>
      </c>
      <c r="F28" s="12" t="s">
        <v>914</v>
      </c>
      <c r="G28" s="12"/>
    </row>
    <row r="29" spans="1:7" x14ac:dyDescent="0.25">
      <c r="A29" s="12">
        <v>28</v>
      </c>
      <c r="B29" s="12" t="s">
        <v>867</v>
      </c>
      <c r="C29" s="12" t="s">
        <v>910</v>
      </c>
      <c r="D29" s="12" t="s">
        <v>915</v>
      </c>
      <c r="E29" s="12" t="s">
        <v>34</v>
      </c>
      <c r="F29" s="12" t="s">
        <v>916</v>
      </c>
      <c r="G29" s="12"/>
    </row>
    <row r="30" spans="1:7" x14ac:dyDescent="0.25">
      <c r="A30" s="12">
        <v>29</v>
      </c>
      <c r="B30" s="12" t="s">
        <v>867</v>
      </c>
      <c r="C30" s="12" t="s">
        <v>910</v>
      </c>
      <c r="D30" s="12" t="s">
        <v>917</v>
      </c>
      <c r="E30" s="12" t="s">
        <v>34</v>
      </c>
      <c r="F30" s="12" t="s">
        <v>918</v>
      </c>
      <c r="G30" s="12"/>
    </row>
    <row r="31" spans="1:7" x14ac:dyDescent="0.25">
      <c r="A31" s="12">
        <v>30</v>
      </c>
      <c r="B31" s="12" t="s">
        <v>867</v>
      </c>
      <c r="C31" s="12" t="s">
        <v>910</v>
      </c>
      <c r="D31" s="12" t="s">
        <v>919</v>
      </c>
      <c r="E31" s="12" t="s">
        <v>34</v>
      </c>
      <c r="F31" s="12" t="s">
        <v>920</v>
      </c>
      <c r="G31" s="12"/>
    </row>
    <row r="32" spans="1:7" x14ac:dyDescent="0.25">
      <c r="A32" s="12">
        <v>31</v>
      </c>
      <c r="B32" s="12" t="s">
        <v>867</v>
      </c>
      <c r="C32" s="12" t="s">
        <v>910</v>
      </c>
      <c r="D32" s="12" t="s">
        <v>921</v>
      </c>
      <c r="E32" s="12" t="s">
        <v>34</v>
      </c>
      <c r="F32" s="12" t="s">
        <v>922</v>
      </c>
      <c r="G32" s="12"/>
    </row>
    <row r="33" spans="1:7" x14ac:dyDescent="0.25">
      <c r="A33" s="12">
        <v>32</v>
      </c>
      <c r="B33" s="12" t="s">
        <v>923</v>
      </c>
      <c r="C33" s="12" t="s">
        <v>924</v>
      </c>
      <c r="D33" s="12" t="s">
        <v>925</v>
      </c>
      <c r="E33" s="12" t="s">
        <v>39</v>
      </c>
      <c r="F33" s="12" t="s">
        <v>924</v>
      </c>
      <c r="G33" s="12"/>
    </row>
    <row r="34" spans="1:7" x14ac:dyDescent="0.25">
      <c r="A34" s="12">
        <v>33</v>
      </c>
      <c r="B34" s="12" t="s">
        <v>923</v>
      </c>
      <c r="C34" s="12" t="s">
        <v>924</v>
      </c>
      <c r="D34" s="12" t="s">
        <v>926</v>
      </c>
      <c r="E34" s="12" t="s">
        <v>39</v>
      </c>
      <c r="F34" s="12" t="s">
        <v>924</v>
      </c>
      <c r="G34" s="12"/>
    </row>
    <row r="35" spans="1:7" x14ac:dyDescent="0.25">
      <c r="A35" s="12">
        <v>34</v>
      </c>
      <c r="B35" s="12" t="s">
        <v>923</v>
      </c>
      <c r="C35" s="12" t="s">
        <v>927</v>
      </c>
      <c r="D35" s="12" t="s">
        <v>928</v>
      </c>
      <c r="E35" s="12" t="s">
        <v>39</v>
      </c>
      <c r="F35" s="12" t="s">
        <v>927</v>
      </c>
      <c r="G35" s="12"/>
    </row>
    <row r="36" spans="1:7" x14ac:dyDescent="0.25">
      <c r="A36" s="12">
        <v>35</v>
      </c>
      <c r="B36" s="12" t="s">
        <v>923</v>
      </c>
      <c r="C36" s="12" t="s">
        <v>929</v>
      </c>
      <c r="D36" s="12" t="s">
        <v>930</v>
      </c>
      <c r="E36" s="12" t="s">
        <v>39</v>
      </c>
      <c r="F36" s="12" t="s">
        <v>931</v>
      </c>
      <c r="G36" s="12"/>
    </row>
    <row r="37" spans="1:7" ht="30" x14ac:dyDescent="0.25">
      <c r="A37" s="12">
        <v>36</v>
      </c>
      <c r="B37" s="12" t="s">
        <v>923</v>
      </c>
      <c r="C37" s="12" t="s">
        <v>932</v>
      </c>
      <c r="D37" s="12" t="s">
        <v>933</v>
      </c>
      <c r="E37" s="12" t="s">
        <v>934</v>
      </c>
      <c r="F37" s="12" t="s">
        <v>932</v>
      </c>
      <c r="G37" s="12"/>
    </row>
    <row r="38" spans="1:7" x14ac:dyDescent="0.25">
      <c r="A38" s="12">
        <v>37</v>
      </c>
      <c r="B38" s="12" t="s">
        <v>923</v>
      </c>
      <c r="C38" s="12" t="s">
        <v>935</v>
      </c>
      <c r="D38" s="12" t="s">
        <v>936</v>
      </c>
      <c r="E38" s="12" t="s">
        <v>43</v>
      </c>
      <c r="F38" s="12" t="s">
        <v>935</v>
      </c>
      <c r="G38" s="12"/>
    </row>
    <row r="39" spans="1:7" x14ac:dyDescent="0.25">
      <c r="A39" s="12">
        <v>38</v>
      </c>
      <c r="B39" s="12" t="s">
        <v>923</v>
      </c>
      <c r="C39" s="12" t="s">
        <v>937</v>
      </c>
      <c r="D39" s="12" t="s">
        <v>938</v>
      </c>
      <c r="E39" s="12" t="s">
        <v>37</v>
      </c>
      <c r="F39" s="12" t="s">
        <v>937</v>
      </c>
      <c r="G39" s="12"/>
    </row>
    <row r="40" spans="1:7" x14ac:dyDescent="0.25">
      <c r="A40" s="12">
        <v>39</v>
      </c>
      <c r="B40" s="12" t="s">
        <v>923</v>
      </c>
      <c r="C40" s="12" t="s">
        <v>939</v>
      </c>
      <c r="D40" s="12" t="s">
        <v>940</v>
      </c>
      <c r="E40" s="12" t="s">
        <v>941</v>
      </c>
      <c r="F40" s="12" t="s">
        <v>939</v>
      </c>
      <c r="G40" s="12"/>
    </row>
    <row r="41" spans="1:7" x14ac:dyDescent="0.25">
      <c r="A41" s="12">
        <v>40</v>
      </c>
      <c r="B41" s="12" t="s">
        <v>923</v>
      </c>
      <c r="C41" s="12" t="s">
        <v>942</v>
      </c>
      <c r="D41" s="12" t="s">
        <v>943</v>
      </c>
      <c r="E41" s="12" t="s">
        <v>8</v>
      </c>
      <c r="F41" s="12" t="s">
        <v>942</v>
      </c>
      <c r="G41" s="12"/>
    </row>
    <row r="42" spans="1:7" x14ac:dyDescent="0.25">
      <c r="A42" s="12">
        <v>41</v>
      </c>
      <c r="B42" s="12" t="s">
        <v>923</v>
      </c>
      <c r="C42" s="12" t="s">
        <v>944</v>
      </c>
      <c r="D42" s="12" t="s">
        <v>945</v>
      </c>
      <c r="E42" s="12" t="s">
        <v>946</v>
      </c>
      <c r="F42" s="12" t="s">
        <v>944</v>
      </c>
      <c r="G42" s="12"/>
    </row>
    <row r="43" spans="1:7" x14ac:dyDescent="0.25">
      <c r="A43" s="12">
        <v>42</v>
      </c>
      <c r="B43" s="12" t="s">
        <v>923</v>
      </c>
      <c r="C43" s="12" t="s">
        <v>876</v>
      </c>
      <c r="D43" s="12" t="s">
        <v>947</v>
      </c>
      <c r="E43" s="12" t="s">
        <v>751</v>
      </c>
      <c r="F43" s="12" t="s">
        <v>876</v>
      </c>
      <c r="G43" s="12"/>
    </row>
    <row r="44" spans="1:7" x14ac:dyDescent="0.25">
      <c r="A44" s="12">
        <v>43</v>
      </c>
      <c r="B44" s="12" t="s">
        <v>923</v>
      </c>
      <c r="C44" s="12" t="s">
        <v>948</v>
      </c>
      <c r="D44" s="12" t="s">
        <v>949</v>
      </c>
      <c r="E44" s="12" t="s">
        <v>43</v>
      </c>
      <c r="F44" s="12" t="s">
        <v>950</v>
      </c>
      <c r="G44" s="12"/>
    </row>
    <row r="45" spans="1:7" x14ac:dyDescent="0.25">
      <c r="A45" s="12">
        <v>44</v>
      </c>
      <c r="B45" s="12" t="s">
        <v>923</v>
      </c>
      <c r="C45" s="12" t="s">
        <v>951</v>
      </c>
      <c r="D45" s="12" t="s">
        <v>952</v>
      </c>
      <c r="E45" s="12" t="s">
        <v>953</v>
      </c>
      <c r="F45" s="12" t="s">
        <v>954</v>
      </c>
      <c r="G45" s="12"/>
    </row>
    <row r="46" spans="1:7" x14ac:dyDescent="0.25">
      <c r="A46" s="12">
        <v>45</v>
      </c>
      <c r="B46" s="12" t="s">
        <v>923</v>
      </c>
      <c r="C46" s="12" t="s">
        <v>955</v>
      </c>
      <c r="D46" s="12" t="s">
        <v>956</v>
      </c>
      <c r="E46" s="12" t="s">
        <v>39</v>
      </c>
      <c r="F46" s="12" t="s">
        <v>957</v>
      </c>
      <c r="G46" s="12"/>
    </row>
    <row r="47" spans="1:7" ht="30" x14ac:dyDescent="0.25">
      <c r="A47" s="12">
        <v>46</v>
      </c>
      <c r="B47" s="12" t="s">
        <v>923</v>
      </c>
      <c r="C47" s="12" t="s">
        <v>958</v>
      </c>
      <c r="D47" s="12" t="s">
        <v>959</v>
      </c>
      <c r="E47" s="12" t="s">
        <v>960</v>
      </c>
      <c r="F47" s="12" t="s">
        <v>961</v>
      </c>
      <c r="G47" s="12"/>
    </row>
    <row r="48" spans="1:7" ht="30" x14ac:dyDescent="0.25">
      <c r="A48" s="12">
        <v>47</v>
      </c>
      <c r="B48" s="12" t="s">
        <v>923</v>
      </c>
      <c r="C48" s="12" t="s">
        <v>958</v>
      </c>
      <c r="D48" s="12" t="s">
        <v>962</v>
      </c>
      <c r="E48" s="12" t="s">
        <v>963</v>
      </c>
      <c r="F48" s="12" t="s">
        <v>964</v>
      </c>
      <c r="G48" s="12"/>
    </row>
    <row r="49" spans="1:7" x14ac:dyDescent="0.25">
      <c r="A49" s="12">
        <v>48</v>
      </c>
      <c r="B49" s="12" t="s">
        <v>923</v>
      </c>
      <c r="C49" s="12" t="s">
        <v>965</v>
      </c>
      <c r="D49" s="12" t="s">
        <v>966</v>
      </c>
      <c r="E49" s="12" t="s">
        <v>967</v>
      </c>
      <c r="F49" s="12" t="s">
        <v>968</v>
      </c>
      <c r="G49" s="12"/>
    </row>
    <row r="50" spans="1:7" x14ac:dyDescent="0.25">
      <c r="A50" s="12">
        <v>49</v>
      </c>
      <c r="B50" s="12" t="s">
        <v>923</v>
      </c>
      <c r="C50" s="12" t="s">
        <v>965</v>
      </c>
      <c r="D50" s="12" t="s">
        <v>969</v>
      </c>
      <c r="E50" s="12" t="s">
        <v>970</v>
      </c>
      <c r="F50" s="12" t="s">
        <v>971</v>
      </c>
      <c r="G50" s="12"/>
    </row>
  </sheetData>
  <autoFilter ref="A1:G50" xr:uid="{00000000-0009-0000-0000-000008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1"/>
  <sheetViews>
    <sheetView showGridLines="0" workbookViewId="0">
      <pane ySplit="1" topLeftCell="A86" activePane="bottomLeft" state="frozen"/>
      <selection pane="bottomLeft" activeCell="N98" sqref="M98:N103"/>
    </sheetView>
  </sheetViews>
  <sheetFormatPr defaultRowHeight="15" x14ac:dyDescent="0.25"/>
  <cols>
    <col min="5" max="5" width="10.42578125" bestFit="1" customWidth="1"/>
  </cols>
  <sheetData>
    <row r="1" spans="1:10" ht="30" x14ac:dyDescent="0.25">
      <c r="A1" s="3" t="s">
        <v>599</v>
      </c>
      <c r="B1" s="3" t="s">
        <v>600</v>
      </c>
      <c r="C1" s="3" t="s">
        <v>601</v>
      </c>
      <c r="D1" s="3" t="s">
        <v>602</v>
      </c>
      <c r="E1" s="3" t="s">
        <v>603</v>
      </c>
      <c r="F1" s="3" t="s">
        <v>604</v>
      </c>
      <c r="G1" s="3" t="s">
        <v>605</v>
      </c>
      <c r="H1" s="3" t="s">
        <v>606</v>
      </c>
      <c r="I1" s="3" t="s">
        <v>607</v>
      </c>
      <c r="J1" s="3" t="s">
        <v>608</v>
      </c>
    </row>
    <row r="2" spans="1:10" ht="30" x14ac:dyDescent="0.25">
      <c r="A2" s="4" t="s">
        <v>609</v>
      </c>
      <c r="B2" s="4" t="s">
        <v>610</v>
      </c>
      <c r="C2" s="4" t="s">
        <v>611</v>
      </c>
      <c r="D2" s="4" t="s">
        <v>612</v>
      </c>
      <c r="E2" s="15">
        <v>43926</v>
      </c>
      <c r="F2" s="4" t="s">
        <v>613</v>
      </c>
      <c r="G2" s="8">
        <v>62707</v>
      </c>
      <c r="H2" s="4" t="s">
        <v>614</v>
      </c>
      <c r="I2" s="4">
        <v>6</v>
      </c>
      <c r="J2" s="4" t="s">
        <v>615</v>
      </c>
    </row>
    <row r="3" spans="1:10" ht="30" x14ac:dyDescent="0.25">
      <c r="A3" s="4" t="s">
        <v>616</v>
      </c>
      <c r="B3" s="4" t="s">
        <v>617</v>
      </c>
      <c r="C3" s="4" t="s">
        <v>618</v>
      </c>
      <c r="D3" s="4" t="s">
        <v>619</v>
      </c>
      <c r="E3" s="15">
        <v>43921</v>
      </c>
      <c r="F3" s="4" t="s">
        <v>620</v>
      </c>
      <c r="G3" s="8">
        <v>68499</v>
      </c>
      <c r="H3" s="4" t="s">
        <v>621</v>
      </c>
      <c r="I3" s="4">
        <v>6</v>
      </c>
      <c r="J3" s="4" t="s">
        <v>622</v>
      </c>
    </row>
    <row r="4" spans="1:10" ht="30" x14ac:dyDescent="0.25">
      <c r="A4" s="4" t="s">
        <v>623</v>
      </c>
      <c r="B4" s="4" t="s">
        <v>624</v>
      </c>
      <c r="C4" s="4" t="s">
        <v>625</v>
      </c>
      <c r="D4" s="4" t="s">
        <v>619</v>
      </c>
      <c r="E4" s="15">
        <v>44300</v>
      </c>
      <c r="F4" s="4" t="s">
        <v>69</v>
      </c>
      <c r="G4" s="8">
        <v>43526</v>
      </c>
      <c r="H4" s="4" t="s">
        <v>614</v>
      </c>
      <c r="I4" s="4">
        <v>5</v>
      </c>
      <c r="J4" s="4" t="s">
        <v>626</v>
      </c>
    </row>
    <row r="5" spans="1:10" x14ac:dyDescent="0.25">
      <c r="A5" s="4" t="s">
        <v>627</v>
      </c>
      <c r="B5" s="4" t="s">
        <v>610</v>
      </c>
      <c r="C5" s="4" t="s">
        <v>628</v>
      </c>
      <c r="D5" s="4" t="s">
        <v>629</v>
      </c>
      <c r="E5" s="15">
        <v>45853</v>
      </c>
      <c r="F5" s="4" t="s">
        <v>620</v>
      </c>
      <c r="G5" s="8">
        <v>62226</v>
      </c>
      <c r="H5" s="4" t="s">
        <v>621</v>
      </c>
      <c r="I5" s="4">
        <v>1</v>
      </c>
      <c r="J5" s="4" t="s">
        <v>624</v>
      </c>
    </row>
    <row r="6" spans="1:10" ht="30" x14ac:dyDescent="0.25">
      <c r="A6" s="4" t="s">
        <v>630</v>
      </c>
      <c r="B6" s="4" t="s">
        <v>631</v>
      </c>
      <c r="C6" s="4" t="s">
        <v>632</v>
      </c>
      <c r="D6" s="4" t="s">
        <v>633</v>
      </c>
      <c r="E6" s="15">
        <v>43683</v>
      </c>
      <c r="F6" s="4" t="s">
        <v>620</v>
      </c>
      <c r="G6" s="8">
        <v>75940</v>
      </c>
      <c r="H6" s="4" t="s">
        <v>634</v>
      </c>
      <c r="I6" s="4">
        <v>7</v>
      </c>
      <c r="J6" s="4" t="s">
        <v>635</v>
      </c>
    </row>
    <row r="7" spans="1:10" ht="45" x14ac:dyDescent="0.25">
      <c r="A7" s="4" t="s">
        <v>636</v>
      </c>
      <c r="B7" s="4" t="s">
        <v>637</v>
      </c>
      <c r="C7" s="4" t="s">
        <v>628</v>
      </c>
      <c r="D7" s="4" t="s">
        <v>608</v>
      </c>
      <c r="E7" s="15">
        <v>43907</v>
      </c>
      <c r="F7" s="4" t="s">
        <v>638</v>
      </c>
      <c r="G7" s="8">
        <v>55299</v>
      </c>
      <c r="H7" s="4" t="s">
        <v>639</v>
      </c>
      <c r="I7" s="4">
        <v>6</v>
      </c>
      <c r="J7" s="4" t="s">
        <v>640</v>
      </c>
    </row>
    <row r="8" spans="1:10" ht="30" x14ac:dyDescent="0.25">
      <c r="A8" s="4" t="s">
        <v>641</v>
      </c>
      <c r="B8" s="4" t="s">
        <v>642</v>
      </c>
      <c r="C8" s="4" t="s">
        <v>625</v>
      </c>
      <c r="D8" s="4" t="s">
        <v>612</v>
      </c>
      <c r="E8" s="15">
        <v>44758</v>
      </c>
      <c r="F8" s="4" t="s">
        <v>620</v>
      </c>
      <c r="G8" s="8">
        <v>49434</v>
      </c>
      <c r="H8" s="4" t="s">
        <v>621</v>
      </c>
      <c r="I8" s="4">
        <v>4</v>
      </c>
      <c r="J8" s="4" t="s">
        <v>631</v>
      </c>
    </row>
    <row r="9" spans="1:10" x14ac:dyDescent="0.25">
      <c r="A9" s="4" t="s">
        <v>643</v>
      </c>
      <c r="B9" s="4" t="s">
        <v>637</v>
      </c>
      <c r="C9" s="4" t="s">
        <v>644</v>
      </c>
      <c r="D9" s="4" t="s">
        <v>629</v>
      </c>
      <c r="E9" s="15">
        <v>45762</v>
      </c>
      <c r="F9" s="4" t="s">
        <v>69</v>
      </c>
      <c r="G9" s="8">
        <v>64967</v>
      </c>
      <c r="H9" s="4" t="s">
        <v>634</v>
      </c>
      <c r="I9" s="4">
        <v>1</v>
      </c>
      <c r="J9" s="4" t="s">
        <v>642</v>
      </c>
    </row>
    <row r="10" spans="1:10" ht="30" x14ac:dyDescent="0.25">
      <c r="A10" s="4" t="s">
        <v>645</v>
      </c>
      <c r="B10" s="4" t="s">
        <v>646</v>
      </c>
      <c r="C10" s="4" t="s">
        <v>644</v>
      </c>
      <c r="D10" s="4" t="s">
        <v>647</v>
      </c>
      <c r="E10" s="15">
        <v>45077</v>
      </c>
      <c r="F10" s="4" t="s">
        <v>648</v>
      </c>
      <c r="G10" s="8">
        <v>71580</v>
      </c>
      <c r="H10" s="4" t="s">
        <v>634</v>
      </c>
      <c r="I10" s="4">
        <v>3</v>
      </c>
      <c r="J10" s="4" t="s">
        <v>649</v>
      </c>
    </row>
    <row r="11" spans="1:10" x14ac:dyDescent="0.25">
      <c r="A11" s="4" t="s">
        <v>650</v>
      </c>
      <c r="B11" s="4" t="s">
        <v>624</v>
      </c>
      <c r="C11" s="4" t="s">
        <v>644</v>
      </c>
      <c r="D11" s="4" t="s">
        <v>608</v>
      </c>
      <c r="E11" s="15">
        <v>45519</v>
      </c>
      <c r="F11" s="4" t="s">
        <v>648</v>
      </c>
      <c r="G11" s="8">
        <v>75747</v>
      </c>
      <c r="H11" s="4" t="s">
        <v>614</v>
      </c>
      <c r="I11" s="4">
        <v>2</v>
      </c>
      <c r="J11" s="4" t="s">
        <v>624</v>
      </c>
    </row>
    <row r="12" spans="1:10" ht="45" x14ac:dyDescent="0.25">
      <c r="A12" s="4" t="s">
        <v>651</v>
      </c>
      <c r="B12" s="4" t="s">
        <v>652</v>
      </c>
      <c r="C12" s="4" t="s">
        <v>628</v>
      </c>
      <c r="D12" s="4" t="s">
        <v>619</v>
      </c>
      <c r="E12" s="15">
        <v>44389</v>
      </c>
      <c r="F12" s="4" t="s">
        <v>613</v>
      </c>
      <c r="G12" s="8">
        <v>36507</v>
      </c>
      <c r="H12" s="4" t="s">
        <v>639</v>
      </c>
      <c r="I12" s="4">
        <v>5</v>
      </c>
      <c r="J12" s="4" t="s">
        <v>649</v>
      </c>
    </row>
    <row r="13" spans="1:10" ht="30" x14ac:dyDescent="0.25">
      <c r="A13" s="4" t="s">
        <v>653</v>
      </c>
      <c r="B13" s="4" t="s">
        <v>649</v>
      </c>
      <c r="C13" s="4" t="s">
        <v>625</v>
      </c>
      <c r="D13" s="4" t="s">
        <v>629</v>
      </c>
      <c r="E13" s="15">
        <v>45175</v>
      </c>
      <c r="F13" s="4" t="s">
        <v>638</v>
      </c>
      <c r="G13" s="8">
        <v>65944</v>
      </c>
      <c r="H13" s="4" t="s">
        <v>634</v>
      </c>
      <c r="I13" s="4">
        <v>3</v>
      </c>
      <c r="J13" s="4" t="s">
        <v>631</v>
      </c>
    </row>
    <row r="14" spans="1:10" x14ac:dyDescent="0.25">
      <c r="A14" s="4" t="s">
        <v>654</v>
      </c>
      <c r="B14" s="4" t="s">
        <v>652</v>
      </c>
      <c r="C14" s="4" t="s">
        <v>611</v>
      </c>
      <c r="D14" s="4" t="s">
        <v>608</v>
      </c>
      <c r="E14" s="15">
        <v>45686</v>
      </c>
      <c r="F14" s="4" t="s">
        <v>613</v>
      </c>
      <c r="G14" s="8">
        <v>101156</v>
      </c>
      <c r="H14" s="4" t="s">
        <v>621</v>
      </c>
      <c r="I14" s="4">
        <v>1</v>
      </c>
      <c r="J14" s="4" t="s">
        <v>652</v>
      </c>
    </row>
    <row r="15" spans="1:10" x14ac:dyDescent="0.25">
      <c r="A15" s="4" t="s">
        <v>655</v>
      </c>
      <c r="B15" s="4" t="s">
        <v>652</v>
      </c>
      <c r="C15" s="4" t="s">
        <v>618</v>
      </c>
      <c r="D15" s="4" t="s">
        <v>629</v>
      </c>
      <c r="E15" s="15">
        <v>44731</v>
      </c>
      <c r="F15" s="4" t="s">
        <v>69</v>
      </c>
      <c r="G15" s="8">
        <v>45715</v>
      </c>
      <c r="H15" s="4" t="s">
        <v>634</v>
      </c>
      <c r="I15" s="4">
        <v>4</v>
      </c>
      <c r="J15" s="4" t="s">
        <v>656</v>
      </c>
    </row>
    <row r="16" spans="1:10" ht="30" x14ac:dyDescent="0.25">
      <c r="A16" s="4" t="s">
        <v>657</v>
      </c>
      <c r="B16" s="4" t="s">
        <v>640</v>
      </c>
      <c r="C16" s="4" t="s">
        <v>611</v>
      </c>
      <c r="D16" s="4" t="s">
        <v>647</v>
      </c>
      <c r="E16" s="15">
        <v>45748</v>
      </c>
      <c r="F16" s="4" t="s">
        <v>613</v>
      </c>
      <c r="G16" s="8">
        <v>28864</v>
      </c>
      <c r="H16" s="4" t="s">
        <v>634</v>
      </c>
      <c r="I16" s="4">
        <v>1</v>
      </c>
      <c r="J16" s="4" t="s">
        <v>658</v>
      </c>
    </row>
    <row r="17" spans="1:10" x14ac:dyDescent="0.25">
      <c r="A17" s="4" t="s">
        <v>659</v>
      </c>
      <c r="B17" s="4" t="s">
        <v>617</v>
      </c>
      <c r="C17" s="4" t="s">
        <v>618</v>
      </c>
      <c r="D17" s="4" t="s">
        <v>608</v>
      </c>
      <c r="E17" s="15">
        <v>45150</v>
      </c>
      <c r="F17" s="4" t="s">
        <v>648</v>
      </c>
      <c r="G17" s="8">
        <v>44917</v>
      </c>
      <c r="H17" s="4" t="s">
        <v>621</v>
      </c>
      <c r="I17" s="4">
        <v>3</v>
      </c>
      <c r="J17" s="4" t="s">
        <v>640</v>
      </c>
    </row>
    <row r="18" spans="1:10" ht="30" x14ac:dyDescent="0.25">
      <c r="A18" s="4" t="s">
        <v>660</v>
      </c>
      <c r="B18" s="4" t="s">
        <v>646</v>
      </c>
      <c r="C18" s="4" t="s">
        <v>644</v>
      </c>
      <c r="D18" s="4" t="s">
        <v>612</v>
      </c>
      <c r="E18" s="15">
        <v>44004</v>
      </c>
      <c r="F18" s="4" t="s">
        <v>69</v>
      </c>
      <c r="G18" s="8">
        <v>59978</v>
      </c>
      <c r="H18" s="4" t="s">
        <v>621</v>
      </c>
      <c r="I18" s="4">
        <v>6</v>
      </c>
      <c r="J18" s="4" t="s">
        <v>649</v>
      </c>
    </row>
    <row r="19" spans="1:10" ht="45" x14ac:dyDescent="0.25">
      <c r="A19" s="4" t="s">
        <v>661</v>
      </c>
      <c r="B19" s="4" t="s">
        <v>637</v>
      </c>
      <c r="C19" s="4" t="s">
        <v>628</v>
      </c>
      <c r="D19" s="4" t="s">
        <v>633</v>
      </c>
      <c r="E19" s="15">
        <v>44411</v>
      </c>
      <c r="F19" s="4" t="s">
        <v>638</v>
      </c>
      <c r="G19" s="8">
        <v>42575</v>
      </c>
      <c r="H19" s="4" t="s">
        <v>639</v>
      </c>
      <c r="I19" s="4">
        <v>5</v>
      </c>
      <c r="J19" s="4" t="s">
        <v>635</v>
      </c>
    </row>
    <row r="20" spans="1:10" ht="30" x14ac:dyDescent="0.25">
      <c r="A20" s="4" t="s">
        <v>662</v>
      </c>
      <c r="B20" s="4" t="s">
        <v>626</v>
      </c>
      <c r="C20" s="4" t="s">
        <v>618</v>
      </c>
      <c r="D20" s="4" t="s">
        <v>619</v>
      </c>
      <c r="E20" s="15">
        <v>44219</v>
      </c>
      <c r="F20" s="4" t="s">
        <v>613</v>
      </c>
      <c r="G20" s="8">
        <v>46467</v>
      </c>
      <c r="H20" s="4" t="s">
        <v>621</v>
      </c>
      <c r="I20" s="4">
        <v>5</v>
      </c>
      <c r="J20" s="4" t="s">
        <v>649</v>
      </c>
    </row>
    <row r="21" spans="1:10" ht="30" x14ac:dyDescent="0.25">
      <c r="A21" s="4" t="s">
        <v>663</v>
      </c>
      <c r="B21" s="4" t="s">
        <v>658</v>
      </c>
      <c r="C21" s="4" t="s">
        <v>644</v>
      </c>
      <c r="D21" s="4" t="s">
        <v>647</v>
      </c>
      <c r="E21" s="15">
        <v>43598</v>
      </c>
      <c r="F21" s="4" t="s">
        <v>638</v>
      </c>
      <c r="G21" s="8">
        <v>54170</v>
      </c>
      <c r="H21" s="4" t="s">
        <v>621</v>
      </c>
      <c r="I21" s="4">
        <v>7</v>
      </c>
      <c r="J21" s="4" t="s">
        <v>622</v>
      </c>
    </row>
    <row r="22" spans="1:10" ht="30" x14ac:dyDescent="0.25">
      <c r="A22" s="4" t="s">
        <v>664</v>
      </c>
      <c r="B22" s="4" t="s">
        <v>646</v>
      </c>
      <c r="C22" s="4" t="s">
        <v>618</v>
      </c>
      <c r="D22" s="4" t="s">
        <v>612</v>
      </c>
      <c r="E22" s="15">
        <v>43736</v>
      </c>
      <c r="F22" s="4" t="s">
        <v>638</v>
      </c>
      <c r="G22" s="8">
        <v>115159</v>
      </c>
      <c r="H22" s="4" t="s">
        <v>634</v>
      </c>
      <c r="I22" s="4">
        <v>7</v>
      </c>
      <c r="J22" s="4" t="s">
        <v>631</v>
      </c>
    </row>
    <row r="23" spans="1:10" ht="30" x14ac:dyDescent="0.25">
      <c r="A23" s="4" t="s">
        <v>665</v>
      </c>
      <c r="B23" s="4" t="s">
        <v>658</v>
      </c>
      <c r="C23" s="4" t="s">
        <v>618</v>
      </c>
      <c r="D23" s="4" t="s">
        <v>633</v>
      </c>
      <c r="E23" s="15">
        <v>44476</v>
      </c>
      <c r="F23" s="4" t="s">
        <v>69</v>
      </c>
      <c r="G23" s="8">
        <v>74856</v>
      </c>
      <c r="H23" s="4" t="s">
        <v>634</v>
      </c>
      <c r="I23" s="4">
        <v>5</v>
      </c>
      <c r="J23" s="4" t="s">
        <v>626</v>
      </c>
    </row>
    <row r="24" spans="1:10" ht="30" x14ac:dyDescent="0.25">
      <c r="A24" s="4" t="s">
        <v>666</v>
      </c>
      <c r="B24" s="4" t="s">
        <v>610</v>
      </c>
      <c r="C24" s="4" t="s">
        <v>625</v>
      </c>
      <c r="D24" s="4" t="s">
        <v>633</v>
      </c>
      <c r="E24" s="15">
        <v>45808</v>
      </c>
      <c r="F24" s="4" t="s">
        <v>638</v>
      </c>
      <c r="G24" s="8">
        <v>84886</v>
      </c>
      <c r="H24" s="4" t="s">
        <v>614</v>
      </c>
      <c r="I24" s="4">
        <v>1</v>
      </c>
      <c r="J24" s="4" t="s">
        <v>649</v>
      </c>
    </row>
    <row r="25" spans="1:10" ht="30" x14ac:dyDescent="0.25">
      <c r="A25" s="4" t="s">
        <v>667</v>
      </c>
      <c r="B25" s="4" t="s">
        <v>626</v>
      </c>
      <c r="C25" s="4" t="s">
        <v>632</v>
      </c>
      <c r="D25" s="4" t="s">
        <v>633</v>
      </c>
      <c r="E25" s="15">
        <v>45590</v>
      </c>
      <c r="F25" s="4" t="s">
        <v>69</v>
      </c>
      <c r="G25" s="8">
        <v>75777</v>
      </c>
      <c r="H25" s="4" t="s">
        <v>614</v>
      </c>
      <c r="I25" s="4">
        <v>2</v>
      </c>
      <c r="J25" s="4" t="s">
        <v>622</v>
      </c>
    </row>
    <row r="26" spans="1:10" ht="30" x14ac:dyDescent="0.25">
      <c r="A26" s="4" t="s">
        <v>668</v>
      </c>
      <c r="B26" s="4" t="s">
        <v>631</v>
      </c>
      <c r="C26" s="4" t="s">
        <v>618</v>
      </c>
      <c r="D26" s="4" t="s">
        <v>647</v>
      </c>
      <c r="E26" s="15">
        <v>44658</v>
      </c>
      <c r="F26" s="4" t="s">
        <v>648</v>
      </c>
      <c r="G26" s="8">
        <v>85469</v>
      </c>
      <c r="H26" s="4" t="s">
        <v>621</v>
      </c>
      <c r="I26" s="4">
        <v>4</v>
      </c>
      <c r="J26" s="4" t="s">
        <v>658</v>
      </c>
    </row>
    <row r="27" spans="1:10" ht="45" x14ac:dyDescent="0.25">
      <c r="A27" s="4" t="s">
        <v>669</v>
      </c>
      <c r="B27" s="4" t="s">
        <v>610</v>
      </c>
      <c r="C27" s="4" t="s">
        <v>632</v>
      </c>
      <c r="D27" s="4" t="s">
        <v>612</v>
      </c>
      <c r="E27" s="15">
        <v>44671</v>
      </c>
      <c r="F27" s="4" t="s">
        <v>613</v>
      </c>
      <c r="G27" s="8">
        <v>85762</v>
      </c>
      <c r="H27" s="4" t="s">
        <v>639</v>
      </c>
      <c r="I27" s="4">
        <v>4</v>
      </c>
      <c r="J27" s="4" t="s">
        <v>656</v>
      </c>
    </row>
    <row r="28" spans="1:10" ht="45" x14ac:dyDescent="0.25">
      <c r="A28" s="4" t="s">
        <v>670</v>
      </c>
      <c r="B28" s="4" t="s">
        <v>640</v>
      </c>
      <c r="C28" s="4" t="s">
        <v>611</v>
      </c>
      <c r="D28" s="4" t="s">
        <v>612</v>
      </c>
      <c r="E28" s="15">
        <v>45516</v>
      </c>
      <c r="F28" s="4" t="s">
        <v>69</v>
      </c>
      <c r="G28" s="8">
        <v>42734</v>
      </c>
      <c r="H28" s="4" t="s">
        <v>639</v>
      </c>
      <c r="I28" s="4">
        <v>2</v>
      </c>
      <c r="J28" s="4" t="s">
        <v>658</v>
      </c>
    </row>
    <row r="29" spans="1:10" ht="30" x14ac:dyDescent="0.25">
      <c r="A29" s="4" t="s">
        <v>671</v>
      </c>
      <c r="B29" s="4" t="s">
        <v>631</v>
      </c>
      <c r="C29" s="4" t="s">
        <v>644</v>
      </c>
      <c r="D29" s="4" t="s">
        <v>629</v>
      </c>
      <c r="E29" s="15">
        <v>44790</v>
      </c>
      <c r="F29" s="4" t="s">
        <v>638</v>
      </c>
      <c r="G29" s="8">
        <v>102373</v>
      </c>
      <c r="H29" s="4" t="s">
        <v>621</v>
      </c>
      <c r="I29" s="4">
        <v>4</v>
      </c>
      <c r="J29" s="4" t="s">
        <v>631</v>
      </c>
    </row>
    <row r="30" spans="1:10" x14ac:dyDescent="0.25">
      <c r="A30" s="4" t="s">
        <v>672</v>
      </c>
      <c r="B30" s="4" t="s">
        <v>624</v>
      </c>
      <c r="C30" s="4" t="s">
        <v>628</v>
      </c>
      <c r="D30" s="4" t="s">
        <v>608</v>
      </c>
      <c r="E30" s="15">
        <v>43835</v>
      </c>
      <c r="F30" s="4" t="s">
        <v>613</v>
      </c>
      <c r="G30" s="8">
        <v>119158</v>
      </c>
      <c r="H30" s="4" t="s">
        <v>614</v>
      </c>
      <c r="I30" s="4">
        <v>6</v>
      </c>
      <c r="J30" s="4" t="s">
        <v>656</v>
      </c>
    </row>
    <row r="31" spans="1:10" ht="45" x14ac:dyDescent="0.25">
      <c r="A31" s="4" t="s">
        <v>673</v>
      </c>
      <c r="B31" s="4" t="s">
        <v>631</v>
      </c>
      <c r="C31" s="4" t="s">
        <v>632</v>
      </c>
      <c r="D31" s="4" t="s">
        <v>647</v>
      </c>
      <c r="E31" s="15">
        <v>43933</v>
      </c>
      <c r="F31" s="4" t="s">
        <v>620</v>
      </c>
      <c r="G31" s="8">
        <v>93657</v>
      </c>
      <c r="H31" s="4" t="s">
        <v>639</v>
      </c>
      <c r="I31" s="4">
        <v>6</v>
      </c>
      <c r="J31" s="4" t="s">
        <v>646</v>
      </c>
    </row>
    <row r="32" spans="1:10" x14ac:dyDescent="0.25">
      <c r="A32" s="4" t="s">
        <v>674</v>
      </c>
      <c r="B32" s="4" t="s">
        <v>626</v>
      </c>
      <c r="C32" s="4" t="s">
        <v>644</v>
      </c>
      <c r="D32" s="4" t="s">
        <v>629</v>
      </c>
      <c r="E32" s="15">
        <v>45017</v>
      </c>
      <c r="F32" s="4" t="s">
        <v>648</v>
      </c>
      <c r="G32" s="8">
        <v>99120</v>
      </c>
      <c r="H32" s="4" t="s">
        <v>621</v>
      </c>
      <c r="I32" s="4">
        <v>3</v>
      </c>
      <c r="J32" s="4" t="s">
        <v>646</v>
      </c>
    </row>
    <row r="33" spans="1:10" ht="30" x14ac:dyDescent="0.25">
      <c r="A33" s="4" t="s">
        <v>675</v>
      </c>
      <c r="B33" s="4" t="s">
        <v>646</v>
      </c>
      <c r="C33" s="4" t="s">
        <v>632</v>
      </c>
      <c r="D33" s="4" t="s">
        <v>633</v>
      </c>
      <c r="E33" s="15">
        <v>44058</v>
      </c>
      <c r="F33" s="4" t="s">
        <v>638</v>
      </c>
      <c r="G33" s="8">
        <v>65378</v>
      </c>
      <c r="H33" s="4" t="s">
        <v>634</v>
      </c>
      <c r="I33" s="4">
        <v>6</v>
      </c>
      <c r="J33" s="4" t="s">
        <v>631</v>
      </c>
    </row>
    <row r="34" spans="1:10" x14ac:dyDescent="0.25">
      <c r="A34" s="4" t="s">
        <v>676</v>
      </c>
      <c r="B34" s="4" t="s">
        <v>646</v>
      </c>
      <c r="C34" s="4" t="s">
        <v>644</v>
      </c>
      <c r="D34" s="4" t="s">
        <v>629</v>
      </c>
      <c r="E34" s="15">
        <v>44648</v>
      </c>
      <c r="F34" s="4" t="s">
        <v>613</v>
      </c>
      <c r="G34" s="8">
        <v>25463</v>
      </c>
      <c r="H34" s="4" t="s">
        <v>634</v>
      </c>
      <c r="I34" s="4">
        <v>4</v>
      </c>
      <c r="J34" s="4" t="s">
        <v>637</v>
      </c>
    </row>
    <row r="35" spans="1:10" ht="45" x14ac:dyDescent="0.25">
      <c r="A35" s="4" t="s">
        <v>677</v>
      </c>
      <c r="B35" s="4" t="s">
        <v>642</v>
      </c>
      <c r="C35" s="4" t="s">
        <v>618</v>
      </c>
      <c r="D35" s="4" t="s">
        <v>612</v>
      </c>
      <c r="E35" s="15">
        <v>45344</v>
      </c>
      <c r="F35" s="4" t="s">
        <v>620</v>
      </c>
      <c r="G35" s="8">
        <v>104689</v>
      </c>
      <c r="H35" s="4" t="s">
        <v>639</v>
      </c>
      <c r="I35" s="4">
        <v>2</v>
      </c>
      <c r="J35" s="4" t="s">
        <v>649</v>
      </c>
    </row>
    <row r="36" spans="1:10" ht="30" x14ac:dyDescent="0.25">
      <c r="A36" s="4" t="s">
        <v>678</v>
      </c>
      <c r="B36" s="4" t="s">
        <v>642</v>
      </c>
      <c r="C36" s="4" t="s">
        <v>618</v>
      </c>
      <c r="D36" s="4" t="s">
        <v>619</v>
      </c>
      <c r="E36" s="15">
        <v>44354</v>
      </c>
      <c r="F36" s="4" t="s">
        <v>638</v>
      </c>
      <c r="G36" s="8">
        <v>35407</v>
      </c>
      <c r="H36" s="4" t="s">
        <v>614</v>
      </c>
      <c r="I36" s="4">
        <v>5</v>
      </c>
      <c r="J36" s="4" t="s">
        <v>649</v>
      </c>
    </row>
    <row r="37" spans="1:10" ht="30" x14ac:dyDescent="0.25">
      <c r="A37" s="4" t="s">
        <v>679</v>
      </c>
      <c r="B37" s="4" t="s">
        <v>624</v>
      </c>
      <c r="C37" s="4" t="s">
        <v>625</v>
      </c>
      <c r="D37" s="4" t="s">
        <v>608</v>
      </c>
      <c r="E37" s="15">
        <v>45707</v>
      </c>
      <c r="F37" s="4" t="s">
        <v>69</v>
      </c>
      <c r="G37" s="8">
        <v>52215</v>
      </c>
      <c r="H37" s="4" t="s">
        <v>614</v>
      </c>
      <c r="I37" s="4">
        <v>1</v>
      </c>
      <c r="J37" s="4" t="s">
        <v>646</v>
      </c>
    </row>
    <row r="38" spans="1:10" ht="30" x14ac:dyDescent="0.25">
      <c r="A38" s="4" t="s">
        <v>680</v>
      </c>
      <c r="B38" s="4" t="s">
        <v>610</v>
      </c>
      <c r="C38" s="4" t="s">
        <v>632</v>
      </c>
      <c r="D38" s="4" t="s">
        <v>647</v>
      </c>
      <c r="E38" s="15">
        <v>44073</v>
      </c>
      <c r="F38" s="4" t="s">
        <v>620</v>
      </c>
      <c r="G38" s="8">
        <v>44054</v>
      </c>
      <c r="H38" s="4" t="s">
        <v>614</v>
      </c>
      <c r="I38" s="4">
        <v>6</v>
      </c>
      <c r="J38" s="4" t="s">
        <v>617</v>
      </c>
    </row>
    <row r="39" spans="1:10" ht="30" x14ac:dyDescent="0.25">
      <c r="A39" s="4" t="s">
        <v>681</v>
      </c>
      <c r="B39" s="4" t="s">
        <v>656</v>
      </c>
      <c r="C39" s="4" t="s">
        <v>644</v>
      </c>
      <c r="D39" s="4" t="s">
        <v>633</v>
      </c>
      <c r="E39" s="15">
        <v>44822</v>
      </c>
      <c r="F39" s="4" t="s">
        <v>638</v>
      </c>
      <c r="G39" s="8">
        <v>48363</v>
      </c>
      <c r="H39" s="4" t="s">
        <v>621</v>
      </c>
      <c r="I39" s="4">
        <v>4</v>
      </c>
      <c r="J39" s="4" t="s">
        <v>617</v>
      </c>
    </row>
    <row r="40" spans="1:10" x14ac:dyDescent="0.25">
      <c r="A40" s="4" t="s">
        <v>682</v>
      </c>
      <c r="B40" s="4" t="s">
        <v>646</v>
      </c>
      <c r="C40" s="4" t="s">
        <v>618</v>
      </c>
      <c r="D40" s="4" t="s">
        <v>608</v>
      </c>
      <c r="E40" s="15">
        <v>45902</v>
      </c>
      <c r="F40" s="4" t="s">
        <v>69</v>
      </c>
      <c r="G40" s="8">
        <v>72210</v>
      </c>
      <c r="H40" s="4" t="s">
        <v>614</v>
      </c>
      <c r="I40" s="4">
        <v>1</v>
      </c>
      <c r="J40" s="4" t="s">
        <v>656</v>
      </c>
    </row>
    <row r="41" spans="1:10" ht="30" x14ac:dyDescent="0.25">
      <c r="A41" s="4" t="s">
        <v>683</v>
      </c>
      <c r="B41" s="4" t="s">
        <v>615</v>
      </c>
      <c r="C41" s="4" t="s">
        <v>628</v>
      </c>
      <c r="D41" s="4" t="s">
        <v>619</v>
      </c>
      <c r="E41" s="15">
        <v>44691</v>
      </c>
      <c r="F41" s="4" t="s">
        <v>620</v>
      </c>
      <c r="G41" s="8">
        <v>81010</v>
      </c>
      <c r="H41" s="4" t="s">
        <v>614</v>
      </c>
      <c r="I41" s="4">
        <v>4</v>
      </c>
      <c r="J41" s="4" t="s">
        <v>617</v>
      </c>
    </row>
    <row r="42" spans="1:10" ht="45" x14ac:dyDescent="0.25">
      <c r="A42" s="4" t="s">
        <v>684</v>
      </c>
      <c r="B42" s="4" t="s">
        <v>652</v>
      </c>
      <c r="C42" s="4" t="s">
        <v>644</v>
      </c>
      <c r="D42" s="4" t="s">
        <v>608</v>
      </c>
      <c r="E42" s="15">
        <v>45394</v>
      </c>
      <c r="F42" s="4" t="s">
        <v>648</v>
      </c>
      <c r="G42" s="8">
        <v>68150</v>
      </c>
      <c r="H42" s="4" t="s">
        <v>639</v>
      </c>
      <c r="I42" s="4">
        <v>2</v>
      </c>
      <c r="J42" s="4" t="s">
        <v>622</v>
      </c>
    </row>
    <row r="43" spans="1:10" ht="45" x14ac:dyDescent="0.25">
      <c r="A43" s="4" t="s">
        <v>685</v>
      </c>
      <c r="B43" s="4" t="s">
        <v>610</v>
      </c>
      <c r="C43" s="4" t="s">
        <v>644</v>
      </c>
      <c r="D43" s="4" t="s">
        <v>612</v>
      </c>
      <c r="E43" s="15">
        <v>44322</v>
      </c>
      <c r="F43" s="4" t="s">
        <v>69</v>
      </c>
      <c r="G43" s="8">
        <v>36491</v>
      </c>
      <c r="H43" s="4" t="s">
        <v>639</v>
      </c>
      <c r="I43" s="4">
        <v>5</v>
      </c>
      <c r="J43" s="4" t="s">
        <v>617</v>
      </c>
    </row>
    <row r="44" spans="1:10" ht="30" x14ac:dyDescent="0.25">
      <c r="A44" s="4" t="s">
        <v>686</v>
      </c>
      <c r="B44" s="4" t="s">
        <v>615</v>
      </c>
      <c r="C44" s="4" t="s">
        <v>628</v>
      </c>
      <c r="D44" s="4" t="s">
        <v>612</v>
      </c>
      <c r="E44" s="15">
        <v>45215</v>
      </c>
      <c r="F44" s="4" t="s">
        <v>69</v>
      </c>
      <c r="G44" s="8">
        <v>106689</v>
      </c>
      <c r="H44" s="4" t="s">
        <v>634</v>
      </c>
      <c r="I44" s="4">
        <v>3</v>
      </c>
      <c r="J44" s="4" t="s">
        <v>652</v>
      </c>
    </row>
    <row r="45" spans="1:10" ht="30" x14ac:dyDescent="0.25">
      <c r="A45" s="4" t="s">
        <v>687</v>
      </c>
      <c r="B45" s="4" t="s">
        <v>642</v>
      </c>
      <c r="C45" s="4" t="s">
        <v>625</v>
      </c>
      <c r="D45" s="4" t="s">
        <v>608</v>
      </c>
      <c r="E45" s="15">
        <v>45770</v>
      </c>
      <c r="F45" s="4" t="s">
        <v>638</v>
      </c>
      <c r="G45" s="8">
        <v>89553</v>
      </c>
      <c r="H45" s="4" t="s">
        <v>621</v>
      </c>
      <c r="I45" s="4">
        <v>1</v>
      </c>
      <c r="J45" s="4" t="s">
        <v>649</v>
      </c>
    </row>
    <row r="46" spans="1:10" ht="30" x14ac:dyDescent="0.25">
      <c r="A46" s="4" t="s">
        <v>688</v>
      </c>
      <c r="B46" s="4" t="s">
        <v>622</v>
      </c>
      <c r="C46" s="4" t="s">
        <v>644</v>
      </c>
      <c r="D46" s="4" t="s">
        <v>633</v>
      </c>
      <c r="E46" s="15">
        <v>44655</v>
      </c>
      <c r="F46" s="4" t="s">
        <v>620</v>
      </c>
      <c r="G46" s="8">
        <v>85933</v>
      </c>
      <c r="H46" s="4" t="s">
        <v>614</v>
      </c>
      <c r="I46" s="4">
        <v>4</v>
      </c>
      <c r="J46" s="4" t="s">
        <v>622</v>
      </c>
    </row>
    <row r="47" spans="1:10" ht="30" x14ac:dyDescent="0.25">
      <c r="A47" s="4" t="s">
        <v>689</v>
      </c>
      <c r="B47" s="4" t="s">
        <v>658</v>
      </c>
      <c r="C47" s="4" t="s">
        <v>644</v>
      </c>
      <c r="D47" s="4" t="s">
        <v>647</v>
      </c>
      <c r="E47" s="15">
        <v>45164</v>
      </c>
      <c r="F47" s="4" t="s">
        <v>648</v>
      </c>
      <c r="G47" s="8">
        <v>98454</v>
      </c>
      <c r="H47" s="4" t="s">
        <v>621</v>
      </c>
      <c r="I47" s="4">
        <v>3</v>
      </c>
      <c r="J47" s="4" t="s">
        <v>637</v>
      </c>
    </row>
    <row r="48" spans="1:10" ht="30" x14ac:dyDescent="0.25">
      <c r="A48" s="4" t="s">
        <v>690</v>
      </c>
      <c r="B48" s="4" t="s">
        <v>617</v>
      </c>
      <c r="C48" s="4" t="s">
        <v>628</v>
      </c>
      <c r="D48" s="4" t="s">
        <v>633</v>
      </c>
      <c r="E48" s="15">
        <v>44290</v>
      </c>
      <c r="F48" s="4" t="s">
        <v>648</v>
      </c>
      <c r="G48" s="8">
        <v>64358</v>
      </c>
      <c r="H48" s="4" t="s">
        <v>634</v>
      </c>
      <c r="I48" s="4">
        <v>5</v>
      </c>
      <c r="J48" s="4" t="s">
        <v>637</v>
      </c>
    </row>
    <row r="49" spans="1:10" ht="30" x14ac:dyDescent="0.25">
      <c r="A49" s="4" t="s">
        <v>691</v>
      </c>
      <c r="B49" s="4" t="s">
        <v>615</v>
      </c>
      <c r="C49" s="4" t="s">
        <v>628</v>
      </c>
      <c r="D49" s="4" t="s">
        <v>619</v>
      </c>
      <c r="E49" s="15">
        <v>43932</v>
      </c>
      <c r="F49" s="4" t="s">
        <v>69</v>
      </c>
      <c r="G49" s="8">
        <v>105739</v>
      </c>
      <c r="H49" s="4" t="s">
        <v>614</v>
      </c>
      <c r="I49" s="4">
        <v>6</v>
      </c>
      <c r="J49" s="4" t="s">
        <v>646</v>
      </c>
    </row>
    <row r="50" spans="1:10" ht="30" x14ac:dyDescent="0.25">
      <c r="A50" s="4" t="s">
        <v>692</v>
      </c>
      <c r="B50" s="4" t="s">
        <v>615</v>
      </c>
      <c r="C50" s="4" t="s">
        <v>628</v>
      </c>
      <c r="D50" s="4" t="s">
        <v>608</v>
      </c>
      <c r="E50" s="15">
        <v>44260</v>
      </c>
      <c r="F50" s="4" t="s">
        <v>638</v>
      </c>
      <c r="G50" s="8">
        <v>87193</v>
      </c>
      <c r="H50" s="4" t="s">
        <v>614</v>
      </c>
      <c r="I50" s="4">
        <v>5</v>
      </c>
      <c r="J50" s="4" t="s">
        <v>652</v>
      </c>
    </row>
    <row r="51" spans="1:10" ht="45" x14ac:dyDescent="0.25">
      <c r="A51" s="4" t="s">
        <v>693</v>
      </c>
      <c r="B51" s="4" t="s">
        <v>652</v>
      </c>
      <c r="C51" s="4" t="s">
        <v>632</v>
      </c>
      <c r="D51" s="4" t="s">
        <v>619</v>
      </c>
      <c r="E51" s="15">
        <v>45438</v>
      </c>
      <c r="F51" s="4" t="s">
        <v>69</v>
      </c>
      <c r="G51" s="8">
        <v>68923</v>
      </c>
      <c r="H51" s="4" t="s">
        <v>639</v>
      </c>
      <c r="I51" s="4">
        <v>2</v>
      </c>
      <c r="J51" s="4" t="s">
        <v>658</v>
      </c>
    </row>
    <row r="52" spans="1:10" ht="30" x14ac:dyDescent="0.25">
      <c r="A52" s="4" t="s">
        <v>694</v>
      </c>
      <c r="B52" s="4" t="s">
        <v>617</v>
      </c>
      <c r="C52" s="4" t="s">
        <v>625</v>
      </c>
      <c r="D52" s="4" t="s">
        <v>608</v>
      </c>
      <c r="E52" s="15">
        <v>43695</v>
      </c>
      <c r="F52" s="4" t="s">
        <v>648</v>
      </c>
      <c r="G52" s="8">
        <v>97768</v>
      </c>
      <c r="H52" s="4" t="s">
        <v>614</v>
      </c>
      <c r="I52" s="4">
        <v>7</v>
      </c>
      <c r="J52" s="4" t="s">
        <v>622</v>
      </c>
    </row>
    <row r="53" spans="1:10" ht="30" x14ac:dyDescent="0.25">
      <c r="A53" s="4" t="s">
        <v>695</v>
      </c>
      <c r="B53" s="4" t="s">
        <v>615</v>
      </c>
      <c r="C53" s="4" t="s">
        <v>628</v>
      </c>
      <c r="D53" s="4" t="s">
        <v>633</v>
      </c>
      <c r="E53" s="15">
        <v>45831</v>
      </c>
      <c r="F53" s="4" t="s">
        <v>613</v>
      </c>
      <c r="G53" s="8">
        <v>61760</v>
      </c>
      <c r="H53" s="4" t="s">
        <v>614</v>
      </c>
      <c r="I53" s="4">
        <v>1</v>
      </c>
      <c r="J53" s="4" t="s">
        <v>615</v>
      </c>
    </row>
    <row r="54" spans="1:10" ht="30" x14ac:dyDescent="0.25">
      <c r="A54" s="4" t="s">
        <v>696</v>
      </c>
      <c r="B54" s="4" t="s">
        <v>646</v>
      </c>
      <c r="C54" s="4" t="s">
        <v>625</v>
      </c>
      <c r="D54" s="4" t="s">
        <v>612</v>
      </c>
      <c r="E54" s="15">
        <v>45002</v>
      </c>
      <c r="F54" s="4" t="s">
        <v>638</v>
      </c>
      <c r="G54" s="8">
        <v>49560</v>
      </c>
      <c r="H54" s="4" t="s">
        <v>614</v>
      </c>
      <c r="I54" s="4">
        <v>3</v>
      </c>
      <c r="J54" s="4" t="s">
        <v>617</v>
      </c>
    </row>
    <row r="55" spans="1:10" ht="30" x14ac:dyDescent="0.25">
      <c r="A55" s="4" t="s">
        <v>697</v>
      </c>
      <c r="B55" s="4" t="s">
        <v>610</v>
      </c>
      <c r="C55" s="4" t="s">
        <v>628</v>
      </c>
      <c r="D55" s="4" t="s">
        <v>619</v>
      </c>
      <c r="E55" s="15">
        <v>44754</v>
      </c>
      <c r="F55" s="4" t="s">
        <v>620</v>
      </c>
      <c r="G55" s="8">
        <v>90149</v>
      </c>
      <c r="H55" s="4" t="s">
        <v>621</v>
      </c>
      <c r="I55" s="4">
        <v>4</v>
      </c>
      <c r="J55" s="4" t="s">
        <v>635</v>
      </c>
    </row>
    <row r="56" spans="1:10" ht="30" x14ac:dyDescent="0.25">
      <c r="A56" s="4" t="s">
        <v>698</v>
      </c>
      <c r="B56" s="4" t="s">
        <v>617</v>
      </c>
      <c r="C56" s="4" t="s">
        <v>611</v>
      </c>
      <c r="D56" s="4" t="s">
        <v>612</v>
      </c>
      <c r="E56" s="15">
        <v>45317</v>
      </c>
      <c r="F56" s="4" t="s">
        <v>648</v>
      </c>
      <c r="G56" s="8">
        <v>47939</v>
      </c>
      <c r="H56" s="4" t="s">
        <v>614</v>
      </c>
      <c r="I56" s="4">
        <v>2</v>
      </c>
      <c r="J56" s="4" t="s">
        <v>635</v>
      </c>
    </row>
    <row r="57" spans="1:10" ht="45" x14ac:dyDescent="0.25">
      <c r="A57" s="4" t="s">
        <v>699</v>
      </c>
      <c r="B57" s="4" t="s">
        <v>622</v>
      </c>
      <c r="C57" s="4" t="s">
        <v>644</v>
      </c>
      <c r="D57" s="4" t="s">
        <v>619</v>
      </c>
      <c r="E57" s="15">
        <v>43619</v>
      </c>
      <c r="F57" s="4" t="s">
        <v>69</v>
      </c>
      <c r="G57" s="8">
        <v>28268</v>
      </c>
      <c r="H57" s="4" t="s">
        <v>639</v>
      </c>
      <c r="I57" s="4">
        <v>7</v>
      </c>
      <c r="J57" s="4" t="s">
        <v>652</v>
      </c>
    </row>
    <row r="58" spans="1:10" x14ac:dyDescent="0.25">
      <c r="A58" s="4" t="s">
        <v>700</v>
      </c>
      <c r="B58" s="4" t="s">
        <v>615</v>
      </c>
      <c r="C58" s="4" t="s">
        <v>618</v>
      </c>
      <c r="D58" s="4" t="s">
        <v>608</v>
      </c>
      <c r="E58" s="15">
        <v>44245</v>
      </c>
      <c r="F58" s="4" t="s">
        <v>69</v>
      </c>
      <c r="G58" s="8">
        <v>65679</v>
      </c>
      <c r="H58" s="4" t="s">
        <v>634</v>
      </c>
      <c r="I58" s="4">
        <v>5</v>
      </c>
      <c r="J58" s="4" t="s">
        <v>652</v>
      </c>
    </row>
    <row r="59" spans="1:10" ht="45" x14ac:dyDescent="0.25">
      <c r="A59" s="4" t="s">
        <v>701</v>
      </c>
      <c r="B59" s="4" t="s">
        <v>652</v>
      </c>
      <c r="C59" s="4" t="s">
        <v>611</v>
      </c>
      <c r="D59" s="4" t="s">
        <v>608</v>
      </c>
      <c r="E59" s="15">
        <v>43868</v>
      </c>
      <c r="F59" s="4" t="s">
        <v>620</v>
      </c>
      <c r="G59" s="8">
        <v>85210</v>
      </c>
      <c r="H59" s="4" t="s">
        <v>639</v>
      </c>
      <c r="I59" s="4">
        <v>6</v>
      </c>
      <c r="J59" s="4" t="s">
        <v>640</v>
      </c>
    </row>
    <row r="60" spans="1:10" x14ac:dyDescent="0.25">
      <c r="A60" s="4" t="s">
        <v>702</v>
      </c>
      <c r="B60" s="4" t="s">
        <v>617</v>
      </c>
      <c r="C60" s="4" t="s">
        <v>644</v>
      </c>
      <c r="D60" s="4" t="s">
        <v>608</v>
      </c>
      <c r="E60" s="15">
        <v>43482</v>
      </c>
      <c r="F60" s="4" t="s">
        <v>69</v>
      </c>
      <c r="G60" s="8">
        <v>36413</v>
      </c>
      <c r="H60" s="4" t="s">
        <v>634</v>
      </c>
      <c r="I60" s="4">
        <v>7</v>
      </c>
      <c r="J60" s="4" t="s">
        <v>631</v>
      </c>
    </row>
    <row r="61" spans="1:10" ht="30" x14ac:dyDescent="0.25">
      <c r="A61" s="4" t="s">
        <v>703</v>
      </c>
      <c r="B61" s="4" t="s">
        <v>640</v>
      </c>
      <c r="C61" s="4" t="s">
        <v>625</v>
      </c>
      <c r="D61" s="4" t="s">
        <v>608</v>
      </c>
      <c r="E61" s="15">
        <v>43654</v>
      </c>
      <c r="F61" s="4" t="s">
        <v>648</v>
      </c>
      <c r="G61" s="8">
        <v>27946</v>
      </c>
      <c r="H61" s="4" t="s">
        <v>634</v>
      </c>
      <c r="I61" s="4">
        <v>7</v>
      </c>
      <c r="J61" s="4" t="s">
        <v>622</v>
      </c>
    </row>
    <row r="62" spans="1:10" ht="30" x14ac:dyDescent="0.25">
      <c r="A62" s="4" t="s">
        <v>704</v>
      </c>
      <c r="B62" s="4" t="s">
        <v>622</v>
      </c>
      <c r="C62" s="4" t="s">
        <v>611</v>
      </c>
      <c r="D62" s="4" t="s">
        <v>647</v>
      </c>
      <c r="E62" s="15">
        <v>44780</v>
      </c>
      <c r="F62" s="4" t="s">
        <v>648</v>
      </c>
      <c r="G62" s="8">
        <v>94766</v>
      </c>
      <c r="H62" s="4" t="s">
        <v>634</v>
      </c>
      <c r="I62" s="4">
        <v>4</v>
      </c>
      <c r="J62" s="4" t="s">
        <v>631</v>
      </c>
    </row>
    <row r="63" spans="1:10" x14ac:dyDescent="0.25">
      <c r="A63" s="4" t="s">
        <v>705</v>
      </c>
      <c r="B63" s="4" t="s">
        <v>624</v>
      </c>
      <c r="C63" s="4" t="s">
        <v>611</v>
      </c>
      <c r="D63" s="4" t="s">
        <v>629</v>
      </c>
      <c r="E63" s="15">
        <v>43947</v>
      </c>
      <c r="F63" s="4" t="s">
        <v>648</v>
      </c>
      <c r="G63" s="8">
        <v>40002</v>
      </c>
      <c r="H63" s="4" t="s">
        <v>614</v>
      </c>
      <c r="I63" s="4">
        <v>6</v>
      </c>
      <c r="J63" s="4" t="s">
        <v>640</v>
      </c>
    </row>
    <row r="64" spans="1:10" ht="30" x14ac:dyDescent="0.25">
      <c r="A64" s="4" t="s">
        <v>706</v>
      </c>
      <c r="B64" s="4" t="s">
        <v>635</v>
      </c>
      <c r="C64" s="4" t="s">
        <v>625</v>
      </c>
      <c r="D64" s="4" t="s">
        <v>647</v>
      </c>
      <c r="E64" s="15">
        <v>44312</v>
      </c>
      <c r="F64" s="4" t="s">
        <v>648</v>
      </c>
      <c r="G64" s="8">
        <v>43554</v>
      </c>
      <c r="H64" s="4" t="s">
        <v>634</v>
      </c>
      <c r="I64" s="4">
        <v>5</v>
      </c>
      <c r="J64" s="4" t="s">
        <v>649</v>
      </c>
    </row>
    <row r="65" spans="1:10" ht="45" x14ac:dyDescent="0.25">
      <c r="A65" s="4" t="s">
        <v>707</v>
      </c>
      <c r="B65" s="4" t="s">
        <v>656</v>
      </c>
      <c r="C65" s="4" t="s">
        <v>628</v>
      </c>
      <c r="D65" s="4" t="s">
        <v>612</v>
      </c>
      <c r="E65" s="15">
        <v>44167</v>
      </c>
      <c r="F65" s="4" t="s">
        <v>648</v>
      </c>
      <c r="G65" s="8">
        <v>95854</v>
      </c>
      <c r="H65" s="4" t="s">
        <v>639</v>
      </c>
      <c r="I65" s="4">
        <v>6</v>
      </c>
      <c r="J65" s="4" t="s">
        <v>610</v>
      </c>
    </row>
    <row r="66" spans="1:10" ht="45" x14ac:dyDescent="0.25">
      <c r="A66" s="4" t="s">
        <v>708</v>
      </c>
      <c r="B66" s="4" t="s">
        <v>637</v>
      </c>
      <c r="C66" s="4" t="s">
        <v>618</v>
      </c>
      <c r="D66" s="4" t="s">
        <v>608</v>
      </c>
      <c r="E66" s="15">
        <v>43998</v>
      </c>
      <c r="F66" s="4" t="s">
        <v>620</v>
      </c>
      <c r="G66" s="8">
        <v>38884</v>
      </c>
      <c r="H66" s="4" t="s">
        <v>639</v>
      </c>
      <c r="I66" s="4">
        <v>6</v>
      </c>
      <c r="J66" s="4" t="s">
        <v>610</v>
      </c>
    </row>
    <row r="67" spans="1:10" ht="45" x14ac:dyDescent="0.25">
      <c r="A67" s="4" t="s">
        <v>709</v>
      </c>
      <c r="B67" s="4" t="s">
        <v>658</v>
      </c>
      <c r="C67" s="4" t="s">
        <v>618</v>
      </c>
      <c r="D67" s="4" t="s">
        <v>629</v>
      </c>
      <c r="E67" s="15">
        <v>43818</v>
      </c>
      <c r="F67" s="4" t="s">
        <v>69</v>
      </c>
      <c r="G67" s="8">
        <v>102693</v>
      </c>
      <c r="H67" s="4" t="s">
        <v>639</v>
      </c>
      <c r="I67" s="4">
        <v>7</v>
      </c>
      <c r="J67" s="4" t="s">
        <v>635</v>
      </c>
    </row>
    <row r="68" spans="1:10" ht="45" x14ac:dyDescent="0.25">
      <c r="A68" s="4" t="s">
        <v>710</v>
      </c>
      <c r="B68" s="4" t="s">
        <v>615</v>
      </c>
      <c r="C68" s="4" t="s">
        <v>611</v>
      </c>
      <c r="D68" s="4" t="s">
        <v>608</v>
      </c>
      <c r="E68" s="15">
        <v>44745</v>
      </c>
      <c r="F68" s="4" t="s">
        <v>69</v>
      </c>
      <c r="G68" s="8">
        <v>35295</v>
      </c>
      <c r="H68" s="4" t="s">
        <v>639</v>
      </c>
      <c r="I68" s="4">
        <v>4</v>
      </c>
      <c r="J68" s="4" t="s">
        <v>652</v>
      </c>
    </row>
    <row r="69" spans="1:10" ht="45" x14ac:dyDescent="0.25">
      <c r="A69" s="4" t="s">
        <v>711</v>
      </c>
      <c r="B69" s="4" t="s">
        <v>631</v>
      </c>
      <c r="C69" s="4" t="s">
        <v>644</v>
      </c>
      <c r="D69" s="4" t="s">
        <v>619</v>
      </c>
      <c r="E69" s="15">
        <v>43846</v>
      </c>
      <c r="F69" s="4" t="s">
        <v>648</v>
      </c>
      <c r="G69" s="8">
        <v>114715</v>
      </c>
      <c r="H69" s="4" t="s">
        <v>639</v>
      </c>
      <c r="I69" s="4">
        <v>6</v>
      </c>
      <c r="J69" s="4" t="s">
        <v>642</v>
      </c>
    </row>
    <row r="70" spans="1:10" ht="45" x14ac:dyDescent="0.25">
      <c r="A70" s="4" t="s">
        <v>712</v>
      </c>
      <c r="B70" s="4" t="s">
        <v>649</v>
      </c>
      <c r="C70" s="4" t="s">
        <v>611</v>
      </c>
      <c r="D70" s="4" t="s">
        <v>612</v>
      </c>
      <c r="E70" s="15">
        <v>44415</v>
      </c>
      <c r="F70" s="4" t="s">
        <v>648</v>
      </c>
      <c r="G70" s="8">
        <v>72638</v>
      </c>
      <c r="H70" s="4" t="s">
        <v>639</v>
      </c>
      <c r="I70" s="4">
        <v>5</v>
      </c>
      <c r="J70" s="4" t="s">
        <v>646</v>
      </c>
    </row>
    <row r="71" spans="1:10" ht="45" x14ac:dyDescent="0.25">
      <c r="A71" s="4" t="s">
        <v>713</v>
      </c>
      <c r="B71" s="4" t="s">
        <v>615</v>
      </c>
      <c r="C71" s="4" t="s">
        <v>618</v>
      </c>
      <c r="D71" s="4" t="s">
        <v>619</v>
      </c>
      <c r="E71" s="15">
        <v>44819</v>
      </c>
      <c r="F71" s="4" t="s">
        <v>620</v>
      </c>
      <c r="G71" s="8">
        <v>33567</v>
      </c>
      <c r="H71" s="4" t="s">
        <v>639</v>
      </c>
      <c r="I71" s="4">
        <v>4</v>
      </c>
      <c r="J71" s="4" t="s">
        <v>640</v>
      </c>
    </row>
    <row r="72" spans="1:10" x14ac:dyDescent="0.25">
      <c r="A72" s="4" t="s">
        <v>714</v>
      </c>
      <c r="B72" s="4" t="s">
        <v>642</v>
      </c>
      <c r="C72" s="4" t="s">
        <v>618</v>
      </c>
      <c r="D72" s="4" t="s">
        <v>629</v>
      </c>
      <c r="E72" s="15">
        <v>44905</v>
      </c>
      <c r="F72" s="4" t="s">
        <v>648</v>
      </c>
      <c r="G72" s="8">
        <v>70693</v>
      </c>
      <c r="H72" s="4" t="s">
        <v>621</v>
      </c>
      <c r="I72" s="4">
        <v>4</v>
      </c>
      <c r="J72" s="4" t="s">
        <v>640</v>
      </c>
    </row>
    <row r="73" spans="1:10" ht="45" x14ac:dyDescent="0.25">
      <c r="A73" s="4" t="s">
        <v>715</v>
      </c>
      <c r="B73" s="4" t="s">
        <v>640</v>
      </c>
      <c r="C73" s="4" t="s">
        <v>628</v>
      </c>
      <c r="D73" s="4" t="s">
        <v>612</v>
      </c>
      <c r="E73" s="15">
        <v>45127</v>
      </c>
      <c r="F73" s="4" t="s">
        <v>620</v>
      </c>
      <c r="G73" s="8">
        <v>64599</v>
      </c>
      <c r="H73" s="4" t="s">
        <v>639</v>
      </c>
      <c r="I73" s="4">
        <v>3</v>
      </c>
      <c r="J73" s="4" t="s">
        <v>626</v>
      </c>
    </row>
    <row r="74" spans="1:10" ht="30" x14ac:dyDescent="0.25">
      <c r="A74" s="4" t="s">
        <v>716</v>
      </c>
      <c r="B74" s="4" t="s">
        <v>658</v>
      </c>
      <c r="C74" s="4" t="s">
        <v>611</v>
      </c>
      <c r="D74" s="4" t="s">
        <v>612</v>
      </c>
      <c r="E74" s="15">
        <v>45884</v>
      </c>
      <c r="F74" s="4" t="s">
        <v>613</v>
      </c>
      <c r="G74" s="8">
        <v>96820</v>
      </c>
      <c r="H74" s="4" t="s">
        <v>621</v>
      </c>
      <c r="I74" s="4">
        <v>1</v>
      </c>
      <c r="J74" s="4" t="s">
        <v>642</v>
      </c>
    </row>
    <row r="75" spans="1:10" ht="45" x14ac:dyDescent="0.25">
      <c r="A75" s="4" t="s">
        <v>717</v>
      </c>
      <c r="B75" s="4" t="s">
        <v>656</v>
      </c>
      <c r="C75" s="4" t="s">
        <v>628</v>
      </c>
      <c r="D75" s="4" t="s">
        <v>629</v>
      </c>
      <c r="E75" s="15">
        <v>45038</v>
      </c>
      <c r="F75" s="4" t="s">
        <v>69</v>
      </c>
      <c r="G75" s="8">
        <v>81511</v>
      </c>
      <c r="H75" s="4" t="s">
        <v>639</v>
      </c>
      <c r="I75" s="4">
        <v>3</v>
      </c>
      <c r="J75" s="4" t="s">
        <v>615</v>
      </c>
    </row>
    <row r="76" spans="1:10" ht="45" x14ac:dyDescent="0.25">
      <c r="A76" s="4" t="s">
        <v>718</v>
      </c>
      <c r="B76" s="4" t="s">
        <v>649</v>
      </c>
      <c r="C76" s="4" t="s">
        <v>611</v>
      </c>
      <c r="D76" s="4" t="s">
        <v>608</v>
      </c>
      <c r="E76" s="15">
        <v>45696</v>
      </c>
      <c r="F76" s="4" t="s">
        <v>620</v>
      </c>
      <c r="G76" s="8">
        <v>118311</v>
      </c>
      <c r="H76" s="4" t="s">
        <v>639</v>
      </c>
      <c r="I76" s="4">
        <v>1</v>
      </c>
      <c r="J76" s="4" t="s">
        <v>640</v>
      </c>
    </row>
    <row r="77" spans="1:10" ht="30" x14ac:dyDescent="0.25">
      <c r="A77" s="4" t="s">
        <v>719</v>
      </c>
      <c r="B77" s="4" t="s">
        <v>631</v>
      </c>
      <c r="C77" s="4" t="s">
        <v>628</v>
      </c>
      <c r="D77" s="4" t="s">
        <v>612</v>
      </c>
      <c r="E77" s="15">
        <v>45891</v>
      </c>
      <c r="F77" s="4" t="s">
        <v>620</v>
      </c>
      <c r="G77" s="8">
        <v>83355</v>
      </c>
      <c r="H77" s="4" t="s">
        <v>621</v>
      </c>
      <c r="I77" s="4">
        <v>1</v>
      </c>
      <c r="J77" s="4" t="s">
        <v>617</v>
      </c>
    </row>
    <row r="78" spans="1:10" ht="30" x14ac:dyDescent="0.25">
      <c r="A78" s="4" t="s">
        <v>720</v>
      </c>
      <c r="B78" s="4" t="s">
        <v>656</v>
      </c>
      <c r="C78" s="4" t="s">
        <v>625</v>
      </c>
      <c r="D78" s="4" t="s">
        <v>633</v>
      </c>
      <c r="E78" s="15">
        <v>45128</v>
      </c>
      <c r="F78" s="4" t="s">
        <v>69</v>
      </c>
      <c r="G78" s="8">
        <v>74664</v>
      </c>
      <c r="H78" s="4" t="s">
        <v>634</v>
      </c>
      <c r="I78" s="4">
        <v>3</v>
      </c>
      <c r="J78" s="4" t="s">
        <v>642</v>
      </c>
    </row>
    <row r="79" spans="1:10" x14ac:dyDescent="0.25">
      <c r="A79" s="4" t="s">
        <v>721</v>
      </c>
      <c r="B79" s="4" t="s">
        <v>656</v>
      </c>
      <c r="C79" s="4" t="s">
        <v>611</v>
      </c>
      <c r="D79" s="4" t="s">
        <v>629</v>
      </c>
      <c r="E79" s="15">
        <v>43717</v>
      </c>
      <c r="F79" s="4" t="s">
        <v>69</v>
      </c>
      <c r="G79" s="8">
        <v>108379</v>
      </c>
      <c r="H79" s="4" t="s">
        <v>614</v>
      </c>
      <c r="I79" s="4">
        <v>7</v>
      </c>
      <c r="J79" s="4" t="s">
        <v>652</v>
      </c>
    </row>
    <row r="80" spans="1:10" ht="45" x14ac:dyDescent="0.25">
      <c r="A80" s="4" t="s">
        <v>722</v>
      </c>
      <c r="B80" s="4" t="s">
        <v>631</v>
      </c>
      <c r="C80" s="4" t="s">
        <v>625</v>
      </c>
      <c r="D80" s="4" t="s">
        <v>647</v>
      </c>
      <c r="E80" s="15">
        <v>44077</v>
      </c>
      <c r="F80" s="4" t="s">
        <v>638</v>
      </c>
      <c r="G80" s="8">
        <v>105684</v>
      </c>
      <c r="H80" s="4" t="s">
        <v>639</v>
      </c>
      <c r="I80" s="4">
        <v>6</v>
      </c>
      <c r="J80" s="4" t="s">
        <v>622</v>
      </c>
    </row>
    <row r="81" spans="1:10" ht="30" x14ac:dyDescent="0.25">
      <c r="A81" s="4" t="s">
        <v>723</v>
      </c>
      <c r="B81" s="4" t="s">
        <v>615</v>
      </c>
      <c r="C81" s="4" t="s">
        <v>628</v>
      </c>
      <c r="D81" s="4" t="s">
        <v>612</v>
      </c>
      <c r="E81" s="15">
        <v>44308</v>
      </c>
      <c r="F81" s="4" t="s">
        <v>648</v>
      </c>
      <c r="G81" s="8">
        <v>81980</v>
      </c>
      <c r="H81" s="4" t="s">
        <v>634</v>
      </c>
      <c r="I81" s="4">
        <v>5</v>
      </c>
      <c r="J81" s="4" t="s">
        <v>656</v>
      </c>
    </row>
    <row r="82" spans="1:10" ht="30" x14ac:dyDescent="0.25">
      <c r="A82" s="4" t="s">
        <v>724</v>
      </c>
      <c r="B82" s="4" t="s">
        <v>637</v>
      </c>
      <c r="C82" s="4" t="s">
        <v>625</v>
      </c>
      <c r="D82" s="4" t="s">
        <v>612</v>
      </c>
      <c r="E82" s="15">
        <v>45852</v>
      </c>
      <c r="F82" s="4" t="s">
        <v>638</v>
      </c>
      <c r="G82" s="8">
        <v>41718</v>
      </c>
      <c r="H82" s="4" t="s">
        <v>634</v>
      </c>
      <c r="I82" s="4">
        <v>1</v>
      </c>
      <c r="J82" s="4" t="s">
        <v>610</v>
      </c>
    </row>
    <row r="83" spans="1:10" x14ac:dyDescent="0.25">
      <c r="A83" s="4" t="s">
        <v>725</v>
      </c>
      <c r="B83" s="4" t="s">
        <v>610</v>
      </c>
      <c r="C83" s="4" t="s">
        <v>644</v>
      </c>
      <c r="D83" s="4" t="s">
        <v>608</v>
      </c>
      <c r="E83" s="15">
        <v>44978</v>
      </c>
      <c r="F83" s="4" t="s">
        <v>69</v>
      </c>
      <c r="G83" s="8">
        <v>72086</v>
      </c>
      <c r="H83" s="4" t="s">
        <v>614</v>
      </c>
      <c r="I83" s="4">
        <v>3</v>
      </c>
      <c r="J83" s="4" t="s">
        <v>617</v>
      </c>
    </row>
    <row r="84" spans="1:10" x14ac:dyDescent="0.25">
      <c r="A84" s="4" t="s">
        <v>726</v>
      </c>
      <c r="B84" s="4" t="s">
        <v>649</v>
      </c>
      <c r="C84" s="4" t="s">
        <v>618</v>
      </c>
      <c r="D84" s="4" t="s">
        <v>608</v>
      </c>
      <c r="E84" s="15">
        <v>43593</v>
      </c>
      <c r="F84" s="4" t="s">
        <v>69</v>
      </c>
      <c r="G84" s="8">
        <v>76677</v>
      </c>
      <c r="H84" s="4" t="s">
        <v>634</v>
      </c>
      <c r="I84" s="4">
        <v>7</v>
      </c>
      <c r="J84" s="4" t="s">
        <v>626</v>
      </c>
    </row>
    <row r="85" spans="1:10" ht="30" x14ac:dyDescent="0.25">
      <c r="A85" s="4" t="s">
        <v>727</v>
      </c>
      <c r="B85" s="4" t="s">
        <v>626</v>
      </c>
      <c r="C85" s="4" t="s">
        <v>618</v>
      </c>
      <c r="D85" s="4" t="s">
        <v>612</v>
      </c>
      <c r="E85" s="15">
        <v>45129</v>
      </c>
      <c r="F85" s="4" t="s">
        <v>613</v>
      </c>
      <c r="G85" s="8">
        <v>111833</v>
      </c>
      <c r="H85" s="4" t="s">
        <v>621</v>
      </c>
      <c r="I85" s="4">
        <v>3</v>
      </c>
      <c r="J85" s="4" t="s">
        <v>642</v>
      </c>
    </row>
    <row r="86" spans="1:10" ht="30" x14ac:dyDescent="0.25">
      <c r="A86" s="4" t="s">
        <v>728</v>
      </c>
      <c r="B86" s="4" t="s">
        <v>622</v>
      </c>
      <c r="C86" s="4" t="s">
        <v>625</v>
      </c>
      <c r="D86" s="4" t="s">
        <v>619</v>
      </c>
      <c r="E86" s="15">
        <v>44035</v>
      </c>
      <c r="F86" s="4" t="s">
        <v>648</v>
      </c>
      <c r="G86" s="8">
        <v>79687</v>
      </c>
      <c r="H86" s="4" t="s">
        <v>621</v>
      </c>
      <c r="I86" s="4">
        <v>6</v>
      </c>
      <c r="J86" s="4" t="s">
        <v>617</v>
      </c>
    </row>
    <row r="87" spans="1:10" ht="45" x14ac:dyDescent="0.25">
      <c r="A87" s="4" t="s">
        <v>729</v>
      </c>
      <c r="B87" s="4" t="s">
        <v>652</v>
      </c>
      <c r="C87" s="4" t="s">
        <v>644</v>
      </c>
      <c r="D87" s="4" t="s">
        <v>633</v>
      </c>
      <c r="E87" s="15">
        <v>43980</v>
      </c>
      <c r="F87" s="4" t="s">
        <v>620</v>
      </c>
      <c r="G87" s="8">
        <v>43873</v>
      </c>
      <c r="H87" s="4" t="s">
        <v>639</v>
      </c>
      <c r="I87" s="4">
        <v>6</v>
      </c>
      <c r="J87" s="4" t="s">
        <v>658</v>
      </c>
    </row>
    <row r="88" spans="1:10" ht="45" x14ac:dyDescent="0.25">
      <c r="A88" s="4" t="s">
        <v>730</v>
      </c>
      <c r="B88" s="4" t="s">
        <v>656</v>
      </c>
      <c r="C88" s="4" t="s">
        <v>611</v>
      </c>
      <c r="D88" s="4" t="s">
        <v>608</v>
      </c>
      <c r="E88" s="15">
        <v>44022</v>
      </c>
      <c r="F88" s="4" t="s">
        <v>638</v>
      </c>
      <c r="G88" s="8">
        <v>84772</v>
      </c>
      <c r="H88" s="4" t="s">
        <v>639</v>
      </c>
      <c r="I88" s="4">
        <v>6</v>
      </c>
      <c r="J88" s="4" t="s">
        <v>646</v>
      </c>
    </row>
    <row r="89" spans="1:10" ht="30" x14ac:dyDescent="0.25">
      <c r="A89" s="4" t="s">
        <v>731</v>
      </c>
      <c r="B89" s="4" t="s">
        <v>658</v>
      </c>
      <c r="C89" s="4" t="s">
        <v>625</v>
      </c>
      <c r="D89" s="4" t="s">
        <v>619</v>
      </c>
      <c r="E89" s="15">
        <v>45327</v>
      </c>
      <c r="F89" s="4" t="s">
        <v>638</v>
      </c>
      <c r="G89" s="8">
        <v>71570</v>
      </c>
      <c r="H89" s="4" t="s">
        <v>621</v>
      </c>
      <c r="I89" s="4">
        <v>2</v>
      </c>
      <c r="J89" s="4" t="s">
        <v>646</v>
      </c>
    </row>
    <row r="90" spans="1:10" ht="30" x14ac:dyDescent="0.25">
      <c r="A90" s="4" t="s">
        <v>732</v>
      </c>
      <c r="B90" s="4" t="s">
        <v>637</v>
      </c>
      <c r="C90" s="4" t="s">
        <v>625</v>
      </c>
      <c r="D90" s="4" t="s">
        <v>619</v>
      </c>
      <c r="E90" s="15">
        <v>45205</v>
      </c>
      <c r="F90" s="4" t="s">
        <v>613</v>
      </c>
      <c r="G90" s="8">
        <v>118340</v>
      </c>
      <c r="H90" s="4" t="s">
        <v>634</v>
      </c>
      <c r="I90" s="4">
        <v>3</v>
      </c>
      <c r="J90" s="4" t="s">
        <v>658</v>
      </c>
    </row>
    <row r="91" spans="1:10" ht="30" x14ac:dyDescent="0.25">
      <c r="A91" s="4" t="s">
        <v>733</v>
      </c>
      <c r="B91" s="4" t="s">
        <v>635</v>
      </c>
      <c r="C91" s="4" t="s">
        <v>644</v>
      </c>
      <c r="D91" s="4" t="s">
        <v>633</v>
      </c>
      <c r="E91" s="15">
        <v>45703</v>
      </c>
      <c r="F91" s="4" t="s">
        <v>69</v>
      </c>
      <c r="G91" s="8">
        <v>88342</v>
      </c>
      <c r="H91" s="4" t="s">
        <v>634</v>
      </c>
      <c r="I91" s="4">
        <v>1</v>
      </c>
      <c r="J91" s="4" t="s">
        <v>640</v>
      </c>
    </row>
    <row r="92" spans="1:10" ht="30" x14ac:dyDescent="0.25">
      <c r="A92" s="4" t="s">
        <v>734</v>
      </c>
      <c r="B92" s="4" t="s">
        <v>642</v>
      </c>
      <c r="C92" s="4" t="s">
        <v>632</v>
      </c>
      <c r="D92" s="4" t="s">
        <v>633</v>
      </c>
      <c r="E92" s="15">
        <v>45842</v>
      </c>
      <c r="F92" s="4" t="s">
        <v>613</v>
      </c>
      <c r="G92" s="8">
        <v>93997</v>
      </c>
      <c r="H92" s="4" t="s">
        <v>634</v>
      </c>
      <c r="I92" s="4">
        <v>1</v>
      </c>
      <c r="J92" s="4" t="s">
        <v>631</v>
      </c>
    </row>
    <row r="93" spans="1:10" ht="45" x14ac:dyDescent="0.25">
      <c r="A93" s="4" t="s">
        <v>735</v>
      </c>
      <c r="B93" s="4" t="s">
        <v>656</v>
      </c>
      <c r="C93" s="4" t="s">
        <v>625</v>
      </c>
      <c r="D93" s="4" t="s">
        <v>612</v>
      </c>
      <c r="E93" s="15">
        <v>45583</v>
      </c>
      <c r="F93" s="4" t="s">
        <v>620</v>
      </c>
      <c r="G93" s="8">
        <v>57142</v>
      </c>
      <c r="H93" s="4" t="s">
        <v>639</v>
      </c>
      <c r="I93" s="4">
        <v>2</v>
      </c>
      <c r="J93" s="4" t="s">
        <v>656</v>
      </c>
    </row>
    <row r="94" spans="1:10" ht="30" x14ac:dyDescent="0.25">
      <c r="A94" s="4" t="s">
        <v>736</v>
      </c>
      <c r="B94" s="4" t="s">
        <v>617</v>
      </c>
      <c r="C94" s="4" t="s">
        <v>625</v>
      </c>
      <c r="D94" s="4" t="s">
        <v>633</v>
      </c>
      <c r="E94" s="15">
        <v>45674</v>
      </c>
      <c r="F94" s="4" t="s">
        <v>648</v>
      </c>
      <c r="G94" s="8">
        <v>95127</v>
      </c>
      <c r="H94" s="4" t="s">
        <v>614</v>
      </c>
      <c r="I94" s="4">
        <v>1</v>
      </c>
      <c r="J94" s="4" t="s">
        <v>642</v>
      </c>
    </row>
    <row r="95" spans="1:10" ht="30" x14ac:dyDescent="0.25">
      <c r="A95" s="4" t="s">
        <v>737</v>
      </c>
      <c r="B95" s="4" t="s">
        <v>642</v>
      </c>
      <c r="C95" s="4" t="s">
        <v>625</v>
      </c>
      <c r="D95" s="4" t="s">
        <v>608</v>
      </c>
      <c r="E95" s="15">
        <v>45325</v>
      </c>
      <c r="F95" s="4" t="s">
        <v>648</v>
      </c>
      <c r="G95" s="8">
        <v>80183</v>
      </c>
      <c r="H95" s="4" t="s">
        <v>634</v>
      </c>
      <c r="I95" s="4">
        <v>2</v>
      </c>
      <c r="J95" s="4" t="s">
        <v>617</v>
      </c>
    </row>
    <row r="96" spans="1:10" x14ac:dyDescent="0.25">
      <c r="A96" s="4" t="s">
        <v>738</v>
      </c>
      <c r="B96" s="4" t="s">
        <v>646</v>
      </c>
      <c r="C96" s="4" t="s">
        <v>644</v>
      </c>
      <c r="D96" s="4" t="s">
        <v>608</v>
      </c>
      <c r="E96" s="15">
        <v>44650</v>
      </c>
      <c r="F96" s="4" t="s">
        <v>69</v>
      </c>
      <c r="G96" s="8">
        <v>64855</v>
      </c>
      <c r="H96" s="4" t="s">
        <v>634</v>
      </c>
      <c r="I96" s="4">
        <v>4</v>
      </c>
      <c r="J96" s="4" t="s">
        <v>610</v>
      </c>
    </row>
    <row r="97" spans="1:10" ht="30" x14ac:dyDescent="0.25">
      <c r="A97" s="4" t="s">
        <v>739</v>
      </c>
      <c r="B97" s="4" t="s">
        <v>646</v>
      </c>
      <c r="C97" s="4" t="s">
        <v>625</v>
      </c>
      <c r="D97" s="4" t="s">
        <v>633</v>
      </c>
      <c r="E97" s="15">
        <v>45404</v>
      </c>
      <c r="F97" s="4" t="s">
        <v>648</v>
      </c>
      <c r="G97" s="8">
        <v>106830</v>
      </c>
      <c r="H97" s="4" t="s">
        <v>614</v>
      </c>
      <c r="I97" s="4">
        <v>2</v>
      </c>
      <c r="J97" s="4" t="s">
        <v>617</v>
      </c>
    </row>
    <row r="98" spans="1:10" ht="30" x14ac:dyDescent="0.25">
      <c r="A98" s="4" t="s">
        <v>740</v>
      </c>
      <c r="B98" s="4" t="s">
        <v>656</v>
      </c>
      <c r="C98" s="4" t="s">
        <v>611</v>
      </c>
      <c r="D98" s="4" t="s">
        <v>612</v>
      </c>
      <c r="E98" s="15">
        <v>45451</v>
      </c>
      <c r="F98" s="4" t="s">
        <v>620</v>
      </c>
      <c r="G98" s="8">
        <v>61418</v>
      </c>
      <c r="H98" s="4" t="s">
        <v>634</v>
      </c>
      <c r="I98" s="4">
        <v>2</v>
      </c>
      <c r="J98" s="4" t="s">
        <v>652</v>
      </c>
    </row>
    <row r="99" spans="1:10" ht="30" x14ac:dyDescent="0.25">
      <c r="A99" s="4" t="s">
        <v>741</v>
      </c>
      <c r="B99" s="4" t="s">
        <v>624</v>
      </c>
      <c r="C99" s="4" t="s">
        <v>628</v>
      </c>
      <c r="D99" s="4" t="s">
        <v>633</v>
      </c>
      <c r="E99" s="15">
        <v>44616</v>
      </c>
      <c r="F99" s="4" t="s">
        <v>620</v>
      </c>
      <c r="G99" s="8">
        <v>104144</v>
      </c>
      <c r="H99" s="4" t="s">
        <v>621</v>
      </c>
      <c r="I99" s="4">
        <v>4</v>
      </c>
      <c r="J99" s="4" t="s">
        <v>652</v>
      </c>
    </row>
    <row r="100" spans="1:10" ht="30" x14ac:dyDescent="0.25">
      <c r="A100" s="4" t="s">
        <v>742</v>
      </c>
      <c r="B100" s="4" t="s">
        <v>635</v>
      </c>
      <c r="C100" s="4" t="s">
        <v>611</v>
      </c>
      <c r="D100" s="4" t="s">
        <v>647</v>
      </c>
      <c r="E100" s="15">
        <v>45295</v>
      </c>
      <c r="F100" s="4" t="s">
        <v>613</v>
      </c>
      <c r="G100" s="8">
        <v>88559</v>
      </c>
      <c r="H100" s="4" t="s">
        <v>621</v>
      </c>
      <c r="I100" s="4">
        <v>2</v>
      </c>
      <c r="J100" s="4" t="s">
        <v>610</v>
      </c>
    </row>
    <row r="101" spans="1:10" ht="45" x14ac:dyDescent="0.25">
      <c r="A101" s="4" t="s">
        <v>743</v>
      </c>
      <c r="B101" s="4" t="s">
        <v>656</v>
      </c>
      <c r="C101" s="4" t="s">
        <v>611</v>
      </c>
      <c r="D101" s="4" t="s">
        <v>612</v>
      </c>
      <c r="E101" s="15">
        <v>44870</v>
      </c>
      <c r="F101" s="4" t="s">
        <v>613</v>
      </c>
      <c r="G101" s="8">
        <v>90004</v>
      </c>
      <c r="H101" s="4" t="s">
        <v>639</v>
      </c>
      <c r="I101" s="4">
        <v>4</v>
      </c>
      <c r="J101" s="4" t="s">
        <v>626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workbookViewId="0"/>
  </sheetViews>
  <sheetFormatPr defaultRowHeight="15" x14ac:dyDescent="0.25"/>
  <sheetData>
    <row r="1" spans="1:5" ht="30" x14ac:dyDescent="0.25">
      <c r="A1" s="3" t="s">
        <v>39</v>
      </c>
      <c r="B1" s="3" t="s">
        <v>38</v>
      </c>
      <c r="C1" s="3" t="s">
        <v>744</v>
      </c>
      <c r="D1" s="3" t="s">
        <v>745</v>
      </c>
      <c r="E1" s="3" t="s">
        <v>746</v>
      </c>
    </row>
    <row r="2" spans="1:5" ht="30" x14ac:dyDescent="0.25">
      <c r="A2" s="4" t="s">
        <v>103</v>
      </c>
      <c r="B2" s="4" t="s">
        <v>58</v>
      </c>
      <c r="C2" s="8">
        <v>55000</v>
      </c>
      <c r="D2" s="7">
        <v>0.2</v>
      </c>
      <c r="E2" s="4" t="s">
        <v>747</v>
      </c>
    </row>
    <row r="3" spans="1:5" ht="30" x14ac:dyDescent="0.25">
      <c r="A3" s="4" t="s">
        <v>59</v>
      </c>
      <c r="B3" s="4" t="s">
        <v>58</v>
      </c>
      <c r="C3" s="8">
        <v>12000</v>
      </c>
      <c r="D3" s="7">
        <v>0.2</v>
      </c>
      <c r="E3" s="4" t="s">
        <v>748</v>
      </c>
    </row>
    <row r="4" spans="1:5" ht="30" x14ac:dyDescent="0.25">
      <c r="A4" s="4" t="s">
        <v>73</v>
      </c>
      <c r="B4" s="4" t="s">
        <v>58</v>
      </c>
      <c r="C4" s="8">
        <v>1800</v>
      </c>
      <c r="D4" s="7">
        <v>0.25</v>
      </c>
      <c r="E4" s="4" t="s">
        <v>749</v>
      </c>
    </row>
    <row r="5" spans="1:5" ht="30" x14ac:dyDescent="0.25">
      <c r="A5" s="4" t="s">
        <v>70</v>
      </c>
      <c r="B5" s="4" t="s">
        <v>58</v>
      </c>
      <c r="C5" s="8">
        <v>9000</v>
      </c>
      <c r="D5" s="7">
        <v>0.25</v>
      </c>
      <c r="E5" s="4" t="s">
        <v>749</v>
      </c>
    </row>
    <row r="6" spans="1:5" ht="30" x14ac:dyDescent="0.25">
      <c r="A6" s="4" t="s">
        <v>158</v>
      </c>
      <c r="B6" s="4" t="s">
        <v>77</v>
      </c>
      <c r="C6" s="8">
        <v>7000</v>
      </c>
      <c r="D6" s="7">
        <v>0.15</v>
      </c>
      <c r="E6" s="4" t="s">
        <v>748</v>
      </c>
    </row>
    <row r="7" spans="1:5" ht="30" x14ac:dyDescent="0.25">
      <c r="A7" s="4" t="s">
        <v>95</v>
      </c>
      <c r="B7" s="4" t="s">
        <v>77</v>
      </c>
      <c r="C7" s="8">
        <v>11000</v>
      </c>
      <c r="D7" s="7">
        <v>0.3</v>
      </c>
      <c r="E7" s="4" t="s">
        <v>747</v>
      </c>
    </row>
    <row r="8" spans="1:5" ht="30" x14ac:dyDescent="0.25">
      <c r="A8" s="4" t="s">
        <v>78</v>
      </c>
      <c r="B8" s="4" t="s">
        <v>77</v>
      </c>
      <c r="C8" s="8">
        <v>6500</v>
      </c>
      <c r="D8" s="7">
        <v>0.3</v>
      </c>
      <c r="E8" s="4" t="s">
        <v>750</v>
      </c>
    </row>
    <row r="9" spans="1:5" ht="30" x14ac:dyDescent="0.25">
      <c r="A9" s="4" t="s">
        <v>119</v>
      </c>
      <c r="B9" s="4" t="s">
        <v>77</v>
      </c>
      <c r="C9" s="8">
        <v>8000</v>
      </c>
      <c r="D9" s="7">
        <v>0.3</v>
      </c>
      <c r="E9" s="4" t="s">
        <v>748</v>
      </c>
    </row>
    <row r="10" spans="1:5" ht="30" x14ac:dyDescent="0.25">
      <c r="A10" s="4" t="s">
        <v>64</v>
      </c>
      <c r="B10" s="4" t="s">
        <v>52</v>
      </c>
      <c r="C10" s="8">
        <v>120</v>
      </c>
      <c r="D10" s="7">
        <v>0.3</v>
      </c>
      <c r="E10" s="4" t="s">
        <v>747</v>
      </c>
    </row>
    <row r="11" spans="1:5" ht="30" x14ac:dyDescent="0.25">
      <c r="A11" s="4" t="s">
        <v>53</v>
      </c>
      <c r="B11" s="4" t="s">
        <v>52</v>
      </c>
      <c r="C11" s="8">
        <v>250</v>
      </c>
      <c r="D11" s="7">
        <v>0.3</v>
      </c>
      <c r="E11" s="4" t="s">
        <v>750</v>
      </c>
    </row>
    <row r="12" spans="1:5" ht="30" x14ac:dyDescent="0.25">
      <c r="A12" s="4" t="s">
        <v>98</v>
      </c>
      <c r="B12" s="4" t="s">
        <v>52</v>
      </c>
      <c r="C12" s="8">
        <v>80</v>
      </c>
      <c r="D12" s="7">
        <v>0.2</v>
      </c>
      <c r="E12" s="4" t="s">
        <v>747</v>
      </c>
    </row>
    <row r="13" spans="1:5" ht="30" x14ac:dyDescent="0.25">
      <c r="A13" s="4" t="s">
        <v>110</v>
      </c>
      <c r="B13" s="4" t="s">
        <v>52</v>
      </c>
      <c r="C13" s="8">
        <v>180</v>
      </c>
      <c r="D13" s="7">
        <v>0.15</v>
      </c>
      <c r="E13" s="4" t="s">
        <v>750</v>
      </c>
    </row>
    <row r="14" spans="1:5" ht="30" x14ac:dyDescent="0.25">
      <c r="A14" s="4" t="s">
        <v>106</v>
      </c>
      <c r="B14" s="4" t="s">
        <v>85</v>
      </c>
      <c r="C14" s="8">
        <v>900</v>
      </c>
      <c r="D14" s="7">
        <v>0.3</v>
      </c>
      <c r="E14" s="4" t="s">
        <v>747</v>
      </c>
    </row>
    <row r="15" spans="1:5" ht="30" x14ac:dyDescent="0.25">
      <c r="A15" s="4" t="s">
        <v>92</v>
      </c>
      <c r="B15" s="4" t="s">
        <v>85</v>
      </c>
      <c r="C15" s="8">
        <v>2200</v>
      </c>
      <c r="D15" s="7">
        <v>0.25</v>
      </c>
      <c r="E15" s="4" t="s">
        <v>749</v>
      </c>
    </row>
    <row r="16" spans="1:5" ht="30" x14ac:dyDescent="0.25">
      <c r="A16" s="4" t="s">
        <v>116</v>
      </c>
      <c r="B16" s="4" t="s">
        <v>85</v>
      </c>
      <c r="C16" s="8">
        <v>3000</v>
      </c>
      <c r="D16" s="7">
        <v>0.15</v>
      </c>
      <c r="E16" s="4" t="s">
        <v>750</v>
      </c>
    </row>
    <row r="17" spans="1:5" ht="30" x14ac:dyDescent="0.25">
      <c r="A17" s="4" t="s">
        <v>86</v>
      </c>
      <c r="B17" s="4" t="s">
        <v>85</v>
      </c>
      <c r="C17" s="8">
        <v>1200</v>
      </c>
      <c r="D17" s="7">
        <v>0.3</v>
      </c>
      <c r="E17" s="4" t="s">
        <v>750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showGridLines="0" topLeftCell="C1" workbookViewId="0">
      <selection activeCell="G9" sqref="G9"/>
    </sheetView>
  </sheetViews>
  <sheetFormatPr defaultRowHeight="15" x14ac:dyDescent="0.25"/>
  <cols>
    <col min="1" max="1" width="17.140625" customWidth="1"/>
    <col min="2" max="2" width="8.7109375" bestFit="1" customWidth="1"/>
    <col min="3" max="3" width="18.5703125" customWidth="1"/>
    <col min="4" max="4" width="23.85546875" customWidth="1"/>
    <col min="7" max="7" width="29" customWidth="1"/>
  </cols>
  <sheetData>
    <row r="1" spans="1:8" ht="30" x14ac:dyDescent="0.25">
      <c r="A1" s="3" t="s">
        <v>751</v>
      </c>
      <c r="B1" s="3" t="s">
        <v>752</v>
      </c>
      <c r="C1" s="3" t="s">
        <v>753</v>
      </c>
      <c r="D1" s="3" t="s">
        <v>754</v>
      </c>
      <c r="E1" s="3" t="s">
        <v>39</v>
      </c>
      <c r="F1" s="3" t="s">
        <v>755</v>
      </c>
      <c r="H1" s="3" t="s">
        <v>756</v>
      </c>
    </row>
    <row r="2" spans="1:8" ht="30" x14ac:dyDescent="0.25">
      <c r="A2" s="4" t="s">
        <v>757</v>
      </c>
      <c r="B2" s="4" t="s">
        <v>758</v>
      </c>
      <c r="C2" s="4" t="s">
        <v>759</v>
      </c>
      <c r="D2" s="4" t="s">
        <v>760</v>
      </c>
      <c r="E2" s="4" t="s">
        <v>761</v>
      </c>
      <c r="F2" s="4" t="s">
        <v>762</v>
      </c>
      <c r="G2" t="str">
        <f>TRIM(A2)</f>
        <v>Rahul Patil</v>
      </c>
      <c r="H2" s="4" t="s">
        <v>763</v>
      </c>
    </row>
    <row r="3" spans="1:8" ht="30" x14ac:dyDescent="0.25">
      <c r="A3" s="4" t="s">
        <v>764</v>
      </c>
      <c r="B3" s="4" t="s">
        <v>765</v>
      </c>
      <c r="C3" s="4" t="s">
        <v>766</v>
      </c>
      <c r="D3" s="4" t="s">
        <v>767</v>
      </c>
      <c r="E3" s="4" t="s">
        <v>59</v>
      </c>
      <c r="F3" s="4" t="s">
        <v>768</v>
      </c>
      <c r="G3" t="str">
        <f>PROPER(B3)</f>
        <v xml:space="preserve">Pune </v>
      </c>
      <c r="H3" s="4" t="s">
        <v>769</v>
      </c>
    </row>
    <row r="4" spans="1:8" ht="45" x14ac:dyDescent="0.25">
      <c r="A4" s="4" t="s">
        <v>770</v>
      </c>
      <c r="B4" s="4" t="s">
        <v>648</v>
      </c>
      <c r="C4" s="4" t="s">
        <v>771</v>
      </c>
      <c r="D4" s="4" t="s">
        <v>772</v>
      </c>
      <c r="E4" s="4" t="s">
        <v>773</v>
      </c>
      <c r="F4" s="4" t="s">
        <v>762</v>
      </c>
      <c r="G4" t="str">
        <f>SUBSTITUTE(C4,"-","")</f>
        <v>9876511111</v>
      </c>
      <c r="H4" s="4" t="s">
        <v>774</v>
      </c>
    </row>
    <row r="5" spans="1:8" ht="30" x14ac:dyDescent="0.25">
      <c r="A5" s="4" t="s">
        <v>775</v>
      </c>
      <c r="B5" s="4" t="s">
        <v>776</v>
      </c>
      <c r="C5" s="4" t="s">
        <v>777</v>
      </c>
      <c r="D5" s="4" t="s">
        <v>778</v>
      </c>
      <c r="E5" s="4" t="s">
        <v>779</v>
      </c>
      <c r="F5" s="4" t="s">
        <v>780</v>
      </c>
      <c r="G5" t="str">
        <f>LOWER(D5)</f>
        <v>sneha@example.com</v>
      </c>
      <c r="H5" s="4" t="s">
        <v>781</v>
      </c>
    </row>
    <row r="6" spans="1:8" ht="30" x14ac:dyDescent="0.25">
      <c r="A6" s="4" t="s">
        <v>782</v>
      </c>
      <c r="B6" s="4" t="s">
        <v>613</v>
      </c>
      <c r="C6" s="4" t="s">
        <v>783</v>
      </c>
      <c r="D6" s="4" t="s">
        <v>784</v>
      </c>
      <c r="E6" s="4" t="s">
        <v>73</v>
      </c>
      <c r="F6" s="4" t="s">
        <v>785</v>
      </c>
      <c r="G6" t="str">
        <f>TRIM(E6)</f>
        <v>Keyboard</v>
      </c>
      <c r="H6" s="4" t="s">
        <v>786</v>
      </c>
    </row>
    <row r="7" spans="1:8" ht="60" x14ac:dyDescent="0.25">
      <c r="A7" s="4" t="s">
        <v>787</v>
      </c>
      <c r="B7" s="4" t="s">
        <v>788</v>
      </c>
      <c r="C7" s="4" t="s">
        <v>789</v>
      </c>
      <c r="D7" s="4" t="s">
        <v>790</v>
      </c>
      <c r="E7" s="4" t="s">
        <v>70</v>
      </c>
      <c r="F7" s="4" t="s">
        <v>791</v>
      </c>
      <c r="G7">
        <f>VALUE(F7)</f>
        <v>9000</v>
      </c>
      <c r="H7" s="4" t="s">
        <v>792</v>
      </c>
    </row>
    <row r="8" spans="1:8" ht="45" x14ac:dyDescent="0.25">
      <c r="A8" s="4" t="s">
        <v>793</v>
      </c>
      <c r="B8" s="4" t="s">
        <v>620</v>
      </c>
      <c r="C8" s="4" t="s">
        <v>766</v>
      </c>
      <c r="D8" s="4" t="s">
        <v>794</v>
      </c>
      <c r="E8" s="4" t="s">
        <v>103</v>
      </c>
      <c r="F8" s="4" t="s">
        <v>762</v>
      </c>
      <c r="H8" s="4" t="s">
        <v>795</v>
      </c>
    </row>
    <row r="9" spans="1:8" ht="45" x14ac:dyDescent="0.25">
      <c r="A9" s="4" t="s">
        <v>796</v>
      </c>
      <c r="B9" s="4" t="s">
        <v>797</v>
      </c>
      <c r="C9" s="4" t="s">
        <v>798</v>
      </c>
      <c r="D9" s="4" t="s">
        <v>799</v>
      </c>
      <c r="E9" s="4" t="s">
        <v>800</v>
      </c>
      <c r="F9" s="4" t="s">
        <v>768</v>
      </c>
      <c r="H9" s="4" t="s">
        <v>801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showGridLines="0" workbookViewId="0">
      <selection activeCell="A11" sqref="A11:B56"/>
    </sheetView>
  </sheetViews>
  <sheetFormatPr defaultRowHeight="15" x14ac:dyDescent="0.25"/>
  <cols>
    <col min="2" max="2" width="15.85546875" bestFit="1" customWidth="1"/>
  </cols>
  <sheetData>
    <row r="1" spans="1:2" x14ac:dyDescent="0.25">
      <c r="A1" s="3" t="s">
        <v>802</v>
      </c>
      <c r="B1" s="3" t="s">
        <v>803</v>
      </c>
    </row>
    <row r="2" spans="1:2" ht="30" x14ac:dyDescent="0.25">
      <c r="A2" s="4" t="s">
        <v>804</v>
      </c>
      <c r="B2" s="14">
        <f>SUM(Raw_Sales_Data!K2:K501)</f>
        <v>24847359</v>
      </c>
    </row>
    <row r="3" spans="1:2" ht="30" x14ac:dyDescent="0.25">
      <c r="A3" s="4" t="s">
        <v>805</v>
      </c>
      <c r="B3" s="6">
        <f>SUM(Raw_Sales_Data!L2:L501)</f>
        <v>17413155.905890457</v>
      </c>
    </row>
    <row r="4" spans="1:2" ht="30" x14ac:dyDescent="0.25">
      <c r="A4" s="4" t="s">
        <v>806</v>
      </c>
      <c r="B4" s="6">
        <f>SUM(Raw_Sales_Data!M2:M501)</f>
        <v>7434203.0941095538</v>
      </c>
    </row>
    <row r="5" spans="1:2" ht="30" x14ac:dyDescent="0.25">
      <c r="A5" s="4" t="s">
        <v>807</v>
      </c>
      <c r="B5" s="9">
        <f>B4/B2</f>
        <v>0.29919490011431615</v>
      </c>
    </row>
    <row r="6" spans="1:2" ht="30" x14ac:dyDescent="0.25">
      <c r="A6" s="4" t="s">
        <v>808</v>
      </c>
      <c r="B6" s="4">
        <f>COUNTA(Raw_Sales_Data!A2:A501)</f>
        <v>500</v>
      </c>
    </row>
    <row r="7" spans="1:2" ht="45" x14ac:dyDescent="0.25">
      <c r="A7" s="4" t="s">
        <v>809</v>
      </c>
      <c r="B7" s="6">
        <f>B2/B6</f>
        <v>49694.718000000001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9"/>
  <sheetViews>
    <sheetView showGridLines="0" tabSelected="1" zoomScale="69" zoomScaleNormal="69" workbookViewId="0">
      <selection activeCell="M14" sqref="M14"/>
    </sheetView>
  </sheetViews>
  <sheetFormatPr defaultRowHeight="15" x14ac:dyDescent="0.25"/>
  <cols>
    <col min="1" max="1" width="16.42578125" bestFit="1" customWidth="1"/>
    <col min="2" max="2" width="16.28515625" bestFit="1" customWidth="1"/>
    <col min="3" max="4" width="14.5703125" bestFit="1" customWidth="1"/>
    <col min="5" max="5" width="13.85546875" bestFit="1" customWidth="1"/>
    <col min="6" max="6" width="16.28515625" bestFit="1" customWidth="1"/>
    <col min="7" max="7" width="9.42578125" bestFit="1" customWidth="1"/>
    <col min="19" max="19" width="13.140625" bestFit="1" customWidth="1"/>
    <col min="20" max="20" width="15.85546875" bestFit="1" customWidth="1"/>
  </cols>
  <sheetData>
    <row r="1" spans="1:20" ht="15" customHeight="1" x14ac:dyDescent="0.25">
      <c r="S1" s="23" t="s">
        <v>1381</v>
      </c>
      <c r="T1" t="s">
        <v>1380</v>
      </c>
    </row>
    <row r="2" spans="1:20" x14ac:dyDescent="0.25">
      <c r="S2" s="24" t="s">
        <v>90</v>
      </c>
      <c r="T2" s="22">
        <v>6903819.5</v>
      </c>
    </row>
    <row r="3" spans="1:20" x14ac:dyDescent="0.25">
      <c r="S3" s="24" t="s">
        <v>68</v>
      </c>
      <c r="T3" s="22">
        <v>7049343.5</v>
      </c>
    </row>
    <row r="4" spans="1:20" x14ac:dyDescent="0.25">
      <c r="S4" s="24" t="s">
        <v>61</v>
      </c>
      <c r="T4" s="22">
        <v>3697255.5</v>
      </c>
    </row>
    <row r="5" spans="1:20" x14ac:dyDescent="0.25">
      <c r="S5" s="24" t="s">
        <v>49</v>
      </c>
      <c r="T5" s="22">
        <v>7196940.5</v>
      </c>
    </row>
    <row r="6" spans="1:20" x14ac:dyDescent="0.25">
      <c r="S6" s="24" t="s">
        <v>1382</v>
      </c>
      <c r="T6" s="22">
        <v>24847359</v>
      </c>
    </row>
    <row r="7" spans="1:20" x14ac:dyDescent="0.25">
      <c r="A7" s="4"/>
    </row>
    <row r="8" spans="1:20" x14ac:dyDescent="0.25">
      <c r="A8" s="4"/>
      <c r="S8" s="23" t="s">
        <v>1381</v>
      </c>
      <c r="T8" t="s">
        <v>1383</v>
      </c>
    </row>
    <row r="9" spans="1:20" x14ac:dyDescent="0.25">
      <c r="A9" s="4"/>
      <c r="S9" s="24" t="s">
        <v>85</v>
      </c>
      <c r="T9" s="25">
        <v>580255.93483636691</v>
      </c>
    </row>
    <row r="10" spans="1:20" x14ac:dyDescent="0.25">
      <c r="A10" s="4"/>
      <c r="S10" s="24" t="s">
        <v>58</v>
      </c>
      <c r="T10" s="25">
        <v>4459988.1376364604</v>
      </c>
    </row>
    <row r="11" spans="1:20" x14ac:dyDescent="0.25">
      <c r="A11" s="4"/>
      <c r="S11" s="24" t="s">
        <v>77</v>
      </c>
      <c r="T11" s="25">
        <v>2353780.0206110771</v>
      </c>
    </row>
    <row r="12" spans="1:20" x14ac:dyDescent="0.25">
      <c r="S12" s="24" t="s">
        <v>52</v>
      </c>
      <c r="T12" s="25">
        <v>40179.001025647529</v>
      </c>
    </row>
    <row r="13" spans="1:20" x14ac:dyDescent="0.25">
      <c r="S13" s="24" t="s">
        <v>1382</v>
      </c>
      <c r="T13" s="25">
        <v>7434203.0941095529</v>
      </c>
    </row>
    <row r="15" spans="1:20" x14ac:dyDescent="0.25">
      <c r="S15" s="23" t="s">
        <v>1381</v>
      </c>
      <c r="T15" t="s">
        <v>1380</v>
      </c>
    </row>
    <row r="16" spans="1:20" x14ac:dyDescent="0.25">
      <c r="S16" s="24" t="s">
        <v>1384</v>
      </c>
      <c r="T16" s="25">
        <v>2524922</v>
      </c>
    </row>
    <row r="17" spans="19:20" x14ac:dyDescent="0.25">
      <c r="S17" s="24" t="s">
        <v>1385</v>
      </c>
      <c r="T17" s="25">
        <v>1249596</v>
      </c>
    </row>
    <row r="18" spans="19:20" x14ac:dyDescent="0.25">
      <c r="S18" s="24" t="s">
        <v>1386</v>
      </c>
      <c r="T18" s="25">
        <v>2533755</v>
      </c>
    </row>
    <row r="19" spans="19:20" x14ac:dyDescent="0.25">
      <c r="S19" s="24" t="s">
        <v>1032</v>
      </c>
      <c r="T19" s="25">
        <v>1409463</v>
      </c>
    </row>
    <row r="20" spans="19:20" x14ac:dyDescent="0.25">
      <c r="S20" s="24" t="s">
        <v>1387</v>
      </c>
      <c r="T20" s="25">
        <v>1586837</v>
      </c>
    </row>
    <row r="21" spans="19:20" x14ac:dyDescent="0.25">
      <c r="S21" s="24" t="s">
        <v>1388</v>
      </c>
      <c r="T21" s="25">
        <v>2248515</v>
      </c>
    </row>
    <row r="22" spans="19:20" x14ac:dyDescent="0.25">
      <c r="S22" s="24" t="s">
        <v>1389</v>
      </c>
      <c r="T22" s="25">
        <v>2709489.5</v>
      </c>
    </row>
    <row r="23" spans="19:20" x14ac:dyDescent="0.25">
      <c r="S23" s="24" t="s">
        <v>1390</v>
      </c>
      <c r="T23" s="25">
        <v>2872099</v>
      </c>
    </row>
    <row r="24" spans="19:20" x14ac:dyDescent="0.25">
      <c r="S24" s="24" t="s">
        <v>1391</v>
      </c>
      <c r="T24" s="25">
        <v>2012981.5</v>
      </c>
    </row>
    <row r="25" spans="19:20" x14ac:dyDescent="0.25">
      <c r="S25" s="24" t="s">
        <v>1392</v>
      </c>
      <c r="T25" s="25">
        <v>2822996</v>
      </c>
    </row>
    <row r="26" spans="19:20" x14ac:dyDescent="0.25">
      <c r="S26" s="24" t="s">
        <v>1393</v>
      </c>
      <c r="T26" s="25">
        <v>1869562</v>
      </c>
    </row>
    <row r="27" spans="19:20" x14ac:dyDescent="0.25">
      <c r="S27" s="24" t="s">
        <v>1394</v>
      </c>
      <c r="T27" s="25">
        <v>1007143</v>
      </c>
    </row>
    <row r="28" spans="19:20" x14ac:dyDescent="0.25">
      <c r="S28" s="24" t="s">
        <v>1382</v>
      </c>
      <c r="T28" s="25">
        <v>24847359</v>
      </c>
    </row>
    <row r="30" spans="19:20" x14ac:dyDescent="0.25">
      <c r="S30" s="23" t="s">
        <v>1381</v>
      </c>
      <c r="T30" t="s">
        <v>1380</v>
      </c>
    </row>
    <row r="31" spans="19:20" x14ac:dyDescent="0.25">
      <c r="S31" s="24" t="s">
        <v>79</v>
      </c>
      <c r="T31" s="25">
        <v>7694756</v>
      </c>
    </row>
    <row r="32" spans="19:20" x14ac:dyDescent="0.25">
      <c r="S32" s="24" t="s">
        <v>65</v>
      </c>
      <c r="T32" s="25">
        <v>7113981.5</v>
      </c>
    </row>
    <row r="33" spans="19:20" x14ac:dyDescent="0.25">
      <c r="S33" s="24" t="s">
        <v>54</v>
      </c>
      <c r="T33" s="25">
        <v>10038621.5</v>
      </c>
    </row>
    <row r="34" spans="19:20" x14ac:dyDescent="0.25">
      <c r="S34" s="24" t="s">
        <v>1382</v>
      </c>
      <c r="T34" s="25">
        <v>24847359</v>
      </c>
    </row>
    <row r="36" spans="19:20" x14ac:dyDescent="0.25">
      <c r="S36" s="23" t="s">
        <v>1381</v>
      </c>
      <c r="T36" t="s">
        <v>1380</v>
      </c>
    </row>
    <row r="37" spans="19:20" x14ac:dyDescent="0.25">
      <c r="S37" s="24" t="s">
        <v>119</v>
      </c>
      <c r="T37" s="25">
        <v>2137600</v>
      </c>
    </row>
    <row r="38" spans="19:20" x14ac:dyDescent="0.25">
      <c r="S38" s="24" t="s">
        <v>95</v>
      </c>
      <c r="T38" s="25">
        <v>2286350</v>
      </c>
    </row>
    <row r="39" spans="19:20" x14ac:dyDescent="0.25">
      <c r="S39" s="24" t="s">
        <v>103</v>
      </c>
      <c r="T39" s="25">
        <v>10032000</v>
      </c>
    </row>
    <row r="40" spans="19:20" x14ac:dyDescent="0.25">
      <c r="S40" s="24" t="s">
        <v>59</v>
      </c>
      <c r="T40" s="25">
        <v>2310000</v>
      </c>
    </row>
    <row r="41" spans="19:20" x14ac:dyDescent="0.25">
      <c r="S41" s="24" t="s">
        <v>70</v>
      </c>
      <c r="T41" s="25">
        <v>2191950</v>
      </c>
    </row>
    <row r="42" spans="19:20" x14ac:dyDescent="0.25">
      <c r="S42" s="24" t="s">
        <v>1382</v>
      </c>
      <c r="T42" s="25">
        <v>18957900</v>
      </c>
    </row>
    <row r="44" spans="19:20" x14ac:dyDescent="0.25">
      <c r="S44" s="23" t="s">
        <v>1381</v>
      </c>
    </row>
    <row r="45" spans="19:20" x14ac:dyDescent="0.25">
      <c r="S45" s="24" t="s">
        <v>90</v>
      </c>
    </row>
    <row r="46" spans="19:20" x14ac:dyDescent="0.25">
      <c r="S46" s="24" t="s">
        <v>68</v>
      </c>
    </row>
    <row r="47" spans="19:20" x14ac:dyDescent="0.25">
      <c r="S47" s="24" t="s">
        <v>61</v>
      </c>
    </row>
    <row r="48" spans="19:20" x14ac:dyDescent="0.25">
      <c r="S48" s="24" t="s">
        <v>49</v>
      </c>
    </row>
    <row r="49" spans="19:19" x14ac:dyDescent="0.25">
      <c r="S49" s="24" t="s">
        <v>1382</v>
      </c>
    </row>
  </sheetData>
  <pageMargins left="0.75" right="0.75" top="1" bottom="1" header="0.5" footer="0.5"/>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showGridLines="0" workbookViewId="0">
      <selection activeCell="C9" sqref="C9"/>
    </sheetView>
  </sheetViews>
  <sheetFormatPr defaultRowHeight="15" x14ac:dyDescent="0.25"/>
  <cols>
    <col min="1" max="1" width="18" customWidth="1"/>
    <col min="2" max="2" width="35" customWidth="1"/>
    <col min="3" max="3" width="45" customWidth="1"/>
  </cols>
  <sheetData>
    <row r="1" spans="1:3" x14ac:dyDescent="0.25">
      <c r="A1" s="3" t="s">
        <v>816</v>
      </c>
      <c r="B1" s="3" t="s">
        <v>817</v>
      </c>
      <c r="C1" s="3" t="s">
        <v>818</v>
      </c>
    </row>
    <row r="2" spans="1:3" x14ac:dyDescent="0.25">
      <c r="A2" s="4" t="s">
        <v>819</v>
      </c>
      <c r="B2" s="4" t="s">
        <v>40</v>
      </c>
      <c r="C2" s="4">
        <v>100</v>
      </c>
    </row>
    <row r="3" spans="1:3" x14ac:dyDescent="0.25">
      <c r="A3" s="4" t="s">
        <v>820</v>
      </c>
      <c r="B3" s="4" t="s">
        <v>821</v>
      </c>
      <c r="C3" s="4">
        <v>500</v>
      </c>
    </row>
    <row r="4" spans="1:3" x14ac:dyDescent="0.25">
      <c r="A4" s="4" t="s">
        <v>822</v>
      </c>
      <c r="B4" s="4" t="s">
        <v>44</v>
      </c>
      <c r="C4" s="4">
        <v>320</v>
      </c>
    </row>
    <row r="5" spans="1:3" x14ac:dyDescent="0.25">
      <c r="A5" s="4" t="s">
        <v>823</v>
      </c>
      <c r="B5" s="4" t="s">
        <v>43</v>
      </c>
      <c r="C5" s="4">
        <f>C2*C3</f>
        <v>50000</v>
      </c>
    </row>
    <row r="6" spans="1:3" x14ac:dyDescent="0.25">
      <c r="A6" s="4" t="s">
        <v>824</v>
      </c>
      <c r="B6" s="4" t="s">
        <v>45</v>
      </c>
      <c r="C6" s="4">
        <f>C5-(C2*C4)</f>
        <v>18000</v>
      </c>
    </row>
    <row r="7" spans="1:3" x14ac:dyDescent="0.25">
      <c r="A7" s="4" t="s">
        <v>825</v>
      </c>
      <c r="B7" s="4" t="s">
        <v>826</v>
      </c>
      <c r="C7" s="4">
        <v>25000</v>
      </c>
    </row>
    <row r="8" spans="1:3" x14ac:dyDescent="0.25">
      <c r="A8" s="4" t="s">
        <v>827</v>
      </c>
      <c r="B8" s="4" t="s">
        <v>828</v>
      </c>
      <c r="C8" s="4" t="s">
        <v>829</v>
      </c>
    </row>
    <row r="9" spans="1:3" x14ac:dyDescent="0.25">
      <c r="A9" s="4" t="s">
        <v>830</v>
      </c>
      <c r="B9" s="4" t="s">
        <v>831</v>
      </c>
      <c r="C9" s="4"/>
    </row>
    <row r="10" spans="1:3" x14ac:dyDescent="0.25">
      <c r="A10" s="4" t="s">
        <v>832</v>
      </c>
      <c r="B10" s="4" t="s">
        <v>833</v>
      </c>
      <c r="C10" s="4"/>
    </row>
    <row r="11" spans="1:3" x14ac:dyDescent="0.25">
      <c r="A11" s="4" t="s">
        <v>834</v>
      </c>
      <c r="B11" s="4" t="s">
        <v>835</v>
      </c>
      <c r="C11" s="4"/>
    </row>
    <row r="12" spans="1:3" x14ac:dyDescent="0.25">
      <c r="A12" s="4" t="s">
        <v>827</v>
      </c>
      <c r="B12" s="4" t="s">
        <v>836</v>
      </c>
      <c r="C12" s="4" t="s">
        <v>837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showGridLines="0" workbookViewId="0">
      <pane ySplit="1" topLeftCell="A2" activePane="bottomLeft" state="frozen"/>
      <selection pane="bottomLeft"/>
    </sheetView>
  </sheetViews>
  <sheetFormatPr defaultRowHeight="15" x14ac:dyDescent="0.25"/>
  <cols>
    <col min="1" max="1" width="7" customWidth="1"/>
    <col min="2" max="2" width="25" customWidth="1"/>
    <col min="3" max="4" width="20" customWidth="1"/>
    <col min="5" max="5" width="38" customWidth="1"/>
    <col min="6" max="6" width="35" customWidth="1"/>
    <col min="7" max="7" width="22" customWidth="1"/>
    <col min="8" max="8" width="20" customWidth="1"/>
  </cols>
  <sheetData>
    <row r="1" spans="1:8" x14ac:dyDescent="0.25">
      <c r="A1" s="11" t="s">
        <v>838</v>
      </c>
      <c r="B1" s="11" t="s">
        <v>972</v>
      </c>
      <c r="C1" s="11" t="s">
        <v>973</v>
      </c>
      <c r="D1" s="11" t="s">
        <v>974</v>
      </c>
      <c r="E1" s="11" t="s">
        <v>975</v>
      </c>
      <c r="F1" s="11" t="s">
        <v>976</v>
      </c>
      <c r="G1" s="11" t="s">
        <v>977</v>
      </c>
      <c r="H1" s="11" t="s">
        <v>978</v>
      </c>
    </row>
    <row r="2" spans="1:8" x14ac:dyDescent="0.25">
      <c r="H2" s="12" t="s">
        <v>103</v>
      </c>
    </row>
    <row r="3" spans="1:8" ht="45" x14ac:dyDescent="0.25">
      <c r="A3" s="12">
        <v>1</v>
      </c>
      <c r="B3" s="12" t="s">
        <v>979</v>
      </c>
      <c r="C3" s="12" t="s">
        <v>980</v>
      </c>
      <c r="D3" s="12" t="s">
        <v>8</v>
      </c>
      <c r="E3" s="12" t="s">
        <v>38</v>
      </c>
      <c r="F3" s="12" t="s">
        <v>981</v>
      </c>
      <c r="G3" s="12"/>
    </row>
    <row r="4" spans="1:8" ht="30" x14ac:dyDescent="0.25">
      <c r="A4" s="12">
        <v>2</v>
      </c>
      <c r="B4" s="12" t="s">
        <v>982</v>
      </c>
      <c r="C4" s="12" t="s">
        <v>983</v>
      </c>
      <c r="D4" s="12" t="s">
        <v>8</v>
      </c>
      <c r="E4" s="12" t="s">
        <v>744</v>
      </c>
      <c r="F4" s="12" t="s">
        <v>981</v>
      </c>
      <c r="G4" s="12"/>
    </row>
    <row r="5" spans="1:8" ht="30" x14ac:dyDescent="0.25">
      <c r="A5" s="12">
        <v>3</v>
      </c>
      <c r="B5" s="12" t="s">
        <v>984</v>
      </c>
      <c r="C5" s="12" t="s">
        <v>985</v>
      </c>
      <c r="D5" s="12" t="s">
        <v>8</v>
      </c>
      <c r="E5" s="12" t="s">
        <v>746</v>
      </c>
      <c r="F5" s="12" t="s">
        <v>981</v>
      </c>
      <c r="G5" s="12"/>
    </row>
    <row r="6" spans="1:8" ht="45" x14ac:dyDescent="0.25">
      <c r="A6" s="12">
        <v>4</v>
      </c>
      <c r="B6" s="12" t="s">
        <v>986</v>
      </c>
      <c r="C6" s="12" t="s">
        <v>987</v>
      </c>
      <c r="D6" s="12" t="s">
        <v>8</v>
      </c>
      <c r="E6" s="12" t="s">
        <v>38</v>
      </c>
      <c r="F6" s="12" t="s">
        <v>988</v>
      </c>
      <c r="G6" s="12"/>
    </row>
    <row r="7" spans="1:8" ht="30" x14ac:dyDescent="0.25">
      <c r="A7" s="12">
        <v>5</v>
      </c>
      <c r="B7" s="12" t="s">
        <v>989</v>
      </c>
      <c r="C7" s="12" t="s">
        <v>990</v>
      </c>
      <c r="D7" s="12" t="s">
        <v>8</v>
      </c>
      <c r="E7" s="12" t="s">
        <v>38</v>
      </c>
      <c r="F7" s="12" t="s">
        <v>991</v>
      </c>
      <c r="G7" s="12"/>
    </row>
    <row r="8" spans="1:8" ht="30" x14ac:dyDescent="0.25">
      <c r="A8" s="12">
        <v>6</v>
      </c>
      <c r="B8" s="12" t="s">
        <v>992</v>
      </c>
      <c r="C8" s="12" t="s">
        <v>983</v>
      </c>
      <c r="D8" s="12" t="s">
        <v>8</v>
      </c>
      <c r="E8" s="12" t="s">
        <v>744</v>
      </c>
      <c r="F8" s="12" t="s">
        <v>993</v>
      </c>
      <c r="G8" s="12"/>
    </row>
    <row r="9" spans="1:8" x14ac:dyDescent="0.25">
      <c r="A9" s="12">
        <v>7</v>
      </c>
      <c r="B9" s="12" t="s">
        <v>994</v>
      </c>
      <c r="C9" s="12" t="s">
        <v>995</v>
      </c>
      <c r="D9" s="12" t="s">
        <v>8</v>
      </c>
      <c r="E9" s="12" t="s">
        <v>745</v>
      </c>
      <c r="F9" s="12" t="s">
        <v>996</v>
      </c>
      <c r="G9" s="12"/>
    </row>
    <row r="10" spans="1:8" x14ac:dyDescent="0.25">
      <c r="A10" s="12">
        <v>8</v>
      </c>
      <c r="B10" s="12" t="s">
        <v>994</v>
      </c>
      <c r="C10" s="12" t="s">
        <v>997</v>
      </c>
      <c r="D10" s="12" t="s">
        <v>8</v>
      </c>
      <c r="E10" s="12" t="s">
        <v>746</v>
      </c>
      <c r="F10" s="12" t="s">
        <v>998</v>
      </c>
      <c r="G10" s="12"/>
    </row>
    <row r="11" spans="1:8" ht="45" x14ac:dyDescent="0.25">
      <c r="A11" s="12">
        <v>9</v>
      </c>
      <c r="B11" s="12" t="s">
        <v>999</v>
      </c>
      <c r="C11" s="12" t="s">
        <v>1000</v>
      </c>
      <c r="D11" s="12" t="s">
        <v>8</v>
      </c>
      <c r="E11" s="12" t="s">
        <v>1001</v>
      </c>
      <c r="F11" s="12" t="s">
        <v>1002</v>
      </c>
      <c r="G11" s="12"/>
    </row>
    <row r="12" spans="1:8" ht="30" x14ac:dyDescent="0.25">
      <c r="A12" s="12">
        <v>10</v>
      </c>
      <c r="B12" s="12" t="s">
        <v>1003</v>
      </c>
      <c r="C12" s="12" t="s">
        <v>1004</v>
      </c>
      <c r="D12" s="12" t="s">
        <v>8</v>
      </c>
      <c r="E12" s="12" t="s">
        <v>39</v>
      </c>
      <c r="F12" s="12" t="s">
        <v>1005</v>
      </c>
      <c r="G12" s="12"/>
    </row>
    <row r="13" spans="1:8" ht="45" x14ac:dyDescent="0.25">
      <c r="A13" s="12">
        <v>11</v>
      </c>
      <c r="B13" s="12" t="s">
        <v>1006</v>
      </c>
      <c r="C13" s="12" t="s">
        <v>1007</v>
      </c>
      <c r="D13" s="12" t="s">
        <v>4</v>
      </c>
      <c r="E13" s="12" t="s">
        <v>38</v>
      </c>
      <c r="F13" s="12" t="s">
        <v>924</v>
      </c>
      <c r="G13" s="12"/>
    </row>
    <row r="14" spans="1:8" ht="30" x14ac:dyDescent="0.25">
      <c r="A14" s="12">
        <v>12</v>
      </c>
      <c r="B14" s="12" t="s">
        <v>1006</v>
      </c>
      <c r="C14" s="12" t="s">
        <v>1008</v>
      </c>
      <c r="D14" s="12" t="s">
        <v>4</v>
      </c>
      <c r="E14" s="12" t="s">
        <v>744</v>
      </c>
      <c r="F14" s="12" t="s">
        <v>924</v>
      </c>
      <c r="G14" s="12"/>
    </row>
    <row r="15" spans="1:8" ht="30" x14ac:dyDescent="0.25">
      <c r="A15" s="12">
        <v>13</v>
      </c>
      <c r="B15" s="12" t="s">
        <v>1009</v>
      </c>
      <c r="C15" s="12" t="s">
        <v>1010</v>
      </c>
      <c r="D15" s="12" t="s">
        <v>1011</v>
      </c>
      <c r="E15" s="12" t="s">
        <v>1009</v>
      </c>
      <c r="F15" s="12" t="s">
        <v>1012</v>
      </c>
      <c r="G15" s="12"/>
    </row>
    <row r="16" spans="1:8" ht="45" x14ac:dyDescent="0.25">
      <c r="A16" s="12">
        <v>14</v>
      </c>
      <c r="B16" s="12" t="s">
        <v>1013</v>
      </c>
      <c r="C16" s="12" t="s">
        <v>1014</v>
      </c>
      <c r="D16" s="12" t="s">
        <v>1011</v>
      </c>
      <c r="E16" s="12" t="s">
        <v>1015</v>
      </c>
      <c r="F16" s="12" t="s">
        <v>1016</v>
      </c>
      <c r="G16" s="12"/>
    </row>
    <row r="17" spans="1:7" ht="45" x14ac:dyDescent="0.25">
      <c r="A17" s="12">
        <v>15</v>
      </c>
      <c r="B17" s="12" t="s">
        <v>965</v>
      </c>
      <c r="C17" s="12" t="s">
        <v>1017</v>
      </c>
      <c r="D17" s="12" t="s">
        <v>8</v>
      </c>
      <c r="E17" s="12" t="s">
        <v>39</v>
      </c>
      <c r="F17" s="12" t="s">
        <v>1018</v>
      </c>
      <c r="G17" s="12"/>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showGridLines="0" workbookViewId="0">
      <pane ySplit="1" topLeftCell="A2" activePane="bottomLeft" state="frozen"/>
      <selection pane="bottomLeft" activeCell="F9" sqref="F9"/>
    </sheetView>
  </sheetViews>
  <sheetFormatPr defaultRowHeight="15" x14ac:dyDescent="0.25"/>
  <cols>
    <col min="1" max="1" width="7" customWidth="1"/>
    <col min="2" max="2" width="14" customWidth="1"/>
    <col min="3" max="3" width="32" customWidth="1"/>
    <col min="4" max="4" width="28" customWidth="1"/>
    <col min="5" max="5" width="30" customWidth="1"/>
    <col min="6" max="6" width="35" customWidth="1"/>
    <col min="7" max="7" width="22" customWidth="1"/>
  </cols>
  <sheetData>
    <row r="1" spans="1:7" x14ac:dyDescent="0.25">
      <c r="A1" s="11" t="s">
        <v>838</v>
      </c>
      <c r="B1" s="11" t="s">
        <v>840</v>
      </c>
      <c r="C1" s="11" t="s">
        <v>1019</v>
      </c>
      <c r="D1" s="11" t="s">
        <v>1020</v>
      </c>
      <c r="E1" s="11" t="s">
        <v>1021</v>
      </c>
      <c r="F1" s="11" t="s">
        <v>976</v>
      </c>
      <c r="G1" s="11" t="s">
        <v>977</v>
      </c>
    </row>
    <row r="2" spans="1:7" x14ac:dyDescent="0.25">
      <c r="A2" s="12">
        <v>1</v>
      </c>
      <c r="B2" s="12" t="s">
        <v>910</v>
      </c>
      <c r="C2" s="12" t="s">
        <v>1022</v>
      </c>
      <c r="D2" s="12" t="s">
        <v>1023</v>
      </c>
      <c r="E2" s="12" t="s">
        <v>1024</v>
      </c>
      <c r="F2" s="12" t="str">
        <f>TEXT(D2,"dd")</f>
        <v>15</v>
      </c>
      <c r="G2" s="12"/>
    </row>
    <row r="3" spans="1:7" x14ac:dyDescent="0.25">
      <c r="A3" s="12">
        <v>2</v>
      </c>
      <c r="B3" s="12" t="s">
        <v>910</v>
      </c>
      <c r="C3" s="12" t="s">
        <v>1025</v>
      </c>
      <c r="D3" s="12" t="s">
        <v>1023</v>
      </c>
      <c r="E3" s="12" t="s">
        <v>1026</v>
      </c>
      <c r="F3" s="12" t="str">
        <f>TEXT(D3,"mm")</f>
        <v>04</v>
      </c>
      <c r="G3" s="12"/>
    </row>
    <row r="4" spans="1:7" x14ac:dyDescent="0.25">
      <c r="A4" s="12">
        <v>3</v>
      </c>
      <c r="B4" s="12" t="s">
        <v>910</v>
      </c>
      <c r="C4" s="12" t="s">
        <v>1027</v>
      </c>
      <c r="D4" s="12" t="s">
        <v>1023</v>
      </c>
      <c r="E4" s="12" t="s">
        <v>1028</v>
      </c>
      <c r="F4" s="12" t="str">
        <f>TEXT(D4,"yyyy")</f>
        <v>2025</v>
      </c>
      <c r="G4" s="12"/>
    </row>
    <row r="5" spans="1:7" x14ac:dyDescent="0.25">
      <c r="A5" s="12">
        <v>4</v>
      </c>
      <c r="B5" s="12" t="s">
        <v>910</v>
      </c>
      <c r="C5" s="12" t="s">
        <v>1029</v>
      </c>
      <c r="D5" s="12" t="s">
        <v>1023</v>
      </c>
      <c r="E5" s="12" t="s">
        <v>1030</v>
      </c>
      <c r="F5" s="12" t="str">
        <f>TEXT(D5,"mmmm")</f>
        <v>April</v>
      </c>
      <c r="G5" s="12"/>
    </row>
    <row r="6" spans="1:7" x14ac:dyDescent="0.25">
      <c r="A6" s="12">
        <v>5</v>
      </c>
      <c r="B6" s="12" t="s">
        <v>910</v>
      </c>
      <c r="C6" s="12" t="s">
        <v>1031</v>
      </c>
      <c r="D6" s="12" t="s">
        <v>1023</v>
      </c>
      <c r="E6" s="12" t="s">
        <v>1032</v>
      </c>
      <c r="F6" s="12" t="str">
        <f>TEXT(D6,"mmm")</f>
        <v>Apr</v>
      </c>
      <c r="G6" s="12"/>
    </row>
    <row r="7" spans="1:7" x14ac:dyDescent="0.25">
      <c r="A7" s="12">
        <v>6</v>
      </c>
      <c r="B7" s="12" t="s">
        <v>910</v>
      </c>
      <c r="C7" s="12" t="s">
        <v>1033</v>
      </c>
      <c r="D7" s="12" t="s">
        <v>1023</v>
      </c>
      <c r="E7" s="12" t="s">
        <v>1034</v>
      </c>
      <c r="F7" s="12"/>
      <c r="G7" s="12"/>
    </row>
    <row r="8" spans="1:7" x14ac:dyDescent="0.25">
      <c r="A8" s="12">
        <v>7</v>
      </c>
      <c r="B8" s="12" t="s">
        <v>910</v>
      </c>
      <c r="C8" s="12" t="s">
        <v>1035</v>
      </c>
      <c r="D8" s="12" t="s">
        <v>1023</v>
      </c>
      <c r="E8" s="12" t="s">
        <v>1036</v>
      </c>
      <c r="F8" s="12"/>
      <c r="G8" s="12"/>
    </row>
    <row r="9" spans="1:7" x14ac:dyDescent="0.25">
      <c r="A9" s="12">
        <v>8</v>
      </c>
      <c r="B9" s="12" t="s">
        <v>910</v>
      </c>
      <c r="C9" s="12" t="s">
        <v>1037</v>
      </c>
      <c r="D9" s="12" t="s">
        <v>1023</v>
      </c>
      <c r="E9" s="12" t="s">
        <v>1038</v>
      </c>
      <c r="F9" s="19">
        <f>D9+15</f>
        <v>45777</v>
      </c>
      <c r="G9" s="12"/>
    </row>
    <row r="10" spans="1:7" x14ac:dyDescent="0.25">
      <c r="A10" s="12">
        <v>9</v>
      </c>
      <c r="B10" s="12" t="s">
        <v>910</v>
      </c>
      <c r="C10" s="12" t="s">
        <v>1039</v>
      </c>
      <c r="D10" s="12" t="s">
        <v>1023</v>
      </c>
      <c r="E10" s="12" t="s">
        <v>1040</v>
      </c>
      <c r="F10" s="19">
        <f>D10-14</f>
        <v>45748</v>
      </c>
      <c r="G10" s="12"/>
    </row>
    <row r="11" spans="1:7" x14ac:dyDescent="0.25">
      <c r="A11" s="12">
        <v>10</v>
      </c>
      <c r="B11" s="12" t="s">
        <v>910</v>
      </c>
      <c r="C11" s="12" t="s">
        <v>1041</v>
      </c>
      <c r="D11" s="12" t="s">
        <v>1023</v>
      </c>
      <c r="E11" s="12" t="s">
        <v>1042</v>
      </c>
      <c r="F11" s="19">
        <f ca="1">TODAY()</f>
        <v>46277</v>
      </c>
      <c r="G11" s="12"/>
    </row>
    <row r="12" spans="1:7" x14ac:dyDescent="0.25">
      <c r="A12" s="12">
        <v>11</v>
      </c>
      <c r="B12" s="12" t="s">
        <v>910</v>
      </c>
      <c r="C12" s="12" t="s">
        <v>1043</v>
      </c>
      <c r="D12" s="12" t="s">
        <v>1023</v>
      </c>
      <c r="E12" s="12" t="s">
        <v>1044</v>
      </c>
      <c r="F12" s="12" t="str">
        <f>TEXT(D12,"dddd")</f>
        <v>Tuesday</v>
      </c>
      <c r="G12" s="12"/>
    </row>
    <row r="13" spans="1:7" x14ac:dyDescent="0.25">
      <c r="A13" s="12">
        <v>12</v>
      </c>
      <c r="B13" s="12" t="s">
        <v>910</v>
      </c>
      <c r="C13" s="12" t="s">
        <v>1045</v>
      </c>
      <c r="D13" s="12" t="s">
        <v>1046</v>
      </c>
      <c r="E13" s="12" t="s">
        <v>1047</v>
      </c>
      <c r="F13" s="12"/>
      <c r="G13" s="12"/>
    </row>
    <row r="14" spans="1:7" x14ac:dyDescent="0.25">
      <c r="A14" s="12">
        <v>13</v>
      </c>
      <c r="B14" s="12" t="s">
        <v>893</v>
      </c>
      <c r="C14" s="12" t="s">
        <v>1048</v>
      </c>
      <c r="D14" s="12" t="s">
        <v>1049</v>
      </c>
      <c r="E14" s="12" t="s">
        <v>1050</v>
      </c>
      <c r="F14" s="12" t="str">
        <f>LEFT(D14,6)</f>
        <v>Lokesh</v>
      </c>
      <c r="G14" s="12"/>
    </row>
    <row r="15" spans="1:7" x14ac:dyDescent="0.25">
      <c r="A15" s="12">
        <v>14</v>
      </c>
      <c r="B15" s="12" t="s">
        <v>893</v>
      </c>
      <c r="C15" s="12" t="s">
        <v>1051</v>
      </c>
      <c r="D15" s="12" t="s">
        <v>1049</v>
      </c>
      <c r="E15" s="12" t="s">
        <v>1052</v>
      </c>
      <c r="F15" s="12" t="str">
        <f>RIGHT(D15,5)</f>
        <v>Ahire</v>
      </c>
      <c r="G15" s="12"/>
    </row>
    <row r="16" spans="1:7" x14ac:dyDescent="0.25">
      <c r="A16" s="12">
        <v>15</v>
      </c>
      <c r="B16" s="12" t="s">
        <v>893</v>
      </c>
      <c r="C16" s="12" t="s">
        <v>1053</v>
      </c>
      <c r="D16" s="12" t="s">
        <v>1049</v>
      </c>
      <c r="E16" s="12" t="s">
        <v>1054</v>
      </c>
      <c r="F16" s="12">
        <f>LEN(TRIM(D16))</f>
        <v>12</v>
      </c>
      <c r="G16" s="12"/>
    </row>
    <row r="17" spans="1:7" x14ac:dyDescent="0.25">
      <c r="A17" s="12">
        <v>16</v>
      </c>
      <c r="B17" s="12" t="s">
        <v>893</v>
      </c>
      <c r="C17" s="12" t="s">
        <v>1055</v>
      </c>
      <c r="D17" s="12" t="s">
        <v>1049</v>
      </c>
      <c r="E17" s="12" t="s">
        <v>1056</v>
      </c>
      <c r="F17" s="12" t="str">
        <f>UPPER(D17)</f>
        <v>LOKESH AHIRE</v>
      </c>
      <c r="G17" s="12"/>
    </row>
    <row r="18" spans="1:7" x14ac:dyDescent="0.25">
      <c r="A18" s="12">
        <v>17</v>
      </c>
      <c r="B18" s="12" t="s">
        <v>893</v>
      </c>
      <c r="C18" s="12" t="s">
        <v>1057</v>
      </c>
      <c r="D18" s="12" t="s">
        <v>1056</v>
      </c>
      <c r="E18" s="12" t="s">
        <v>1058</v>
      </c>
      <c r="F18" s="12" t="str">
        <f>LOWER(D18)</f>
        <v>lokesh ahire</v>
      </c>
      <c r="G18" s="12"/>
    </row>
    <row r="19" spans="1:7" x14ac:dyDescent="0.25">
      <c r="A19" s="12">
        <v>18</v>
      </c>
      <c r="B19" s="12" t="s">
        <v>893</v>
      </c>
      <c r="C19" s="12" t="s">
        <v>1059</v>
      </c>
      <c r="D19" s="12" t="s">
        <v>1060</v>
      </c>
      <c r="E19" s="12" t="s">
        <v>1049</v>
      </c>
      <c r="F19" s="12" t="str">
        <f>PROPER(D19)</f>
        <v>Lokesh Ahire</v>
      </c>
      <c r="G19" s="12"/>
    </row>
    <row r="20" spans="1:7" x14ac:dyDescent="0.25">
      <c r="A20" s="12">
        <v>19</v>
      </c>
      <c r="B20" s="12" t="s">
        <v>893</v>
      </c>
      <c r="C20" s="12" t="s">
        <v>1061</v>
      </c>
      <c r="D20" s="12" t="s">
        <v>1062</v>
      </c>
      <c r="E20" s="12" t="s">
        <v>1049</v>
      </c>
      <c r="F20" s="12" t="str">
        <f>TRIM(D20)</f>
        <v>Lokesh Ahire</v>
      </c>
      <c r="G20" s="12"/>
    </row>
    <row r="21" spans="1:7" x14ac:dyDescent="0.25">
      <c r="A21" s="12">
        <v>20</v>
      </c>
      <c r="B21" s="12" t="s">
        <v>893</v>
      </c>
      <c r="C21" s="12" t="s">
        <v>1063</v>
      </c>
      <c r="D21" s="12" t="s">
        <v>1049</v>
      </c>
      <c r="E21" s="12" t="s">
        <v>1064</v>
      </c>
      <c r="F21" s="12" t="str">
        <f>REPLACE(D21,7,1,"_")</f>
        <v>Lokesh_Ahire</v>
      </c>
      <c r="G21" s="12"/>
    </row>
    <row r="22" spans="1:7" x14ac:dyDescent="0.25">
      <c r="A22" s="12">
        <v>21</v>
      </c>
      <c r="B22" s="12" t="s">
        <v>893</v>
      </c>
      <c r="C22" s="12" t="s">
        <v>1065</v>
      </c>
      <c r="D22" s="12" t="s">
        <v>1066</v>
      </c>
      <c r="E22" s="12" t="s">
        <v>1067</v>
      </c>
      <c r="F22" s="12" t="str">
        <f>SUBSTITUTE(D22,"+","-")</f>
        <v>Lokesh - Nashik</v>
      </c>
      <c r="G22" s="12"/>
    </row>
    <row r="23" spans="1:7" x14ac:dyDescent="0.25">
      <c r="A23" s="12">
        <v>22</v>
      </c>
      <c r="B23" s="12" t="s">
        <v>893</v>
      </c>
      <c r="C23" s="12" t="s">
        <v>1068</v>
      </c>
      <c r="D23" s="12" t="s">
        <v>794</v>
      </c>
      <c r="E23" s="12" t="s">
        <v>1069</v>
      </c>
      <c r="F23" s="12"/>
      <c r="G23" s="12"/>
    </row>
    <row r="24" spans="1:7" x14ac:dyDescent="0.25">
      <c r="A24" s="12">
        <v>23</v>
      </c>
      <c r="B24" s="12" t="s">
        <v>893</v>
      </c>
      <c r="C24" s="12" t="s">
        <v>1070</v>
      </c>
      <c r="D24" s="12" t="s">
        <v>794</v>
      </c>
      <c r="E24" s="12" t="s">
        <v>1071</v>
      </c>
      <c r="F24" s="12" t="str">
        <f>RIGHT(D24,11)</f>
        <v>example.com</v>
      </c>
      <c r="G24" s="12"/>
    </row>
    <row r="25" spans="1:7" x14ac:dyDescent="0.25">
      <c r="A25" s="12">
        <v>24</v>
      </c>
      <c r="B25" s="12" t="s">
        <v>893</v>
      </c>
      <c r="C25" s="12" t="s">
        <v>1072</v>
      </c>
      <c r="D25" s="12" t="s">
        <v>794</v>
      </c>
      <c r="E25" s="12" t="s">
        <v>1073</v>
      </c>
      <c r="F25" s="12" t="str">
        <f>LEFT(D25,5)</f>
        <v>rahul</v>
      </c>
      <c r="G25" s="12"/>
    </row>
    <row r="26" spans="1:7" x14ac:dyDescent="0.25">
      <c r="A26" s="12">
        <v>25</v>
      </c>
      <c r="B26" s="12" t="s">
        <v>893</v>
      </c>
      <c r="C26" s="12" t="s">
        <v>1074</v>
      </c>
      <c r="D26" s="12" t="s">
        <v>1075</v>
      </c>
      <c r="E26" s="12" t="s">
        <v>766</v>
      </c>
      <c r="F26" s="12" t="str">
        <f>SUBSTITUTE(D26,"-","")</f>
        <v>9876543210</v>
      </c>
      <c r="G26" s="1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showGridLines="0" workbookViewId="0">
      <pane ySplit="1" topLeftCell="A2" activePane="bottomLeft" state="frozen"/>
      <selection pane="bottomLeft"/>
    </sheetView>
  </sheetViews>
  <sheetFormatPr defaultRowHeight="15" x14ac:dyDescent="0.25"/>
  <cols>
    <col min="1" max="1" width="7" customWidth="1"/>
    <col min="2" max="2" width="24" customWidth="1"/>
    <col min="3" max="3" width="28" customWidth="1"/>
    <col min="4" max="4" width="55" customWidth="1"/>
    <col min="5" max="5" width="25" customWidth="1"/>
  </cols>
  <sheetData>
    <row r="1" spans="1:6" x14ac:dyDescent="0.25">
      <c r="A1" s="11" t="s">
        <v>838</v>
      </c>
      <c r="B1" s="11" t="s">
        <v>1076</v>
      </c>
      <c r="C1" s="11" t="s">
        <v>1077</v>
      </c>
      <c r="D1" s="11" t="s">
        <v>1078</v>
      </c>
      <c r="E1" s="11" t="s">
        <v>1079</v>
      </c>
      <c r="F1" s="13"/>
    </row>
    <row r="2" spans="1:6" ht="30" x14ac:dyDescent="0.25">
      <c r="A2" s="12">
        <v>1</v>
      </c>
      <c r="B2" s="12" t="s">
        <v>1080</v>
      </c>
      <c r="C2" s="12" t="s">
        <v>1081</v>
      </c>
      <c r="D2" s="12" t="s">
        <v>1082</v>
      </c>
      <c r="E2" s="12" t="s">
        <v>1083</v>
      </c>
      <c r="F2" s="12" t="s">
        <v>1084</v>
      </c>
    </row>
    <row r="3" spans="1:6" ht="30" x14ac:dyDescent="0.25">
      <c r="A3" s="12">
        <v>2</v>
      </c>
      <c r="B3" s="12" t="s">
        <v>1085</v>
      </c>
      <c r="C3" s="12" t="s">
        <v>1086</v>
      </c>
      <c r="D3" s="12" t="s">
        <v>1087</v>
      </c>
      <c r="E3" s="12" t="s">
        <v>1088</v>
      </c>
      <c r="F3" s="12" t="s">
        <v>1084</v>
      </c>
    </row>
    <row r="4" spans="1:6" ht="30" x14ac:dyDescent="0.25">
      <c r="A4" s="12">
        <v>3</v>
      </c>
      <c r="B4" s="12" t="s">
        <v>1089</v>
      </c>
      <c r="C4" s="12" t="s">
        <v>1090</v>
      </c>
      <c r="D4" s="12" t="s">
        <v>1091</v>
      </c>
      <c r="E4" s="12" t="s">
        <v>1092</v>
      </c>
      <c r="F4" s="12" t="s">
        <v>1084</v>
      </c>
    </row>
    <row r="5" spans="1:6" ht="45" x14ac:dyDescent="0.25">
      <c r="A5" s="12">
        <v>4</v>
      </c>
      <c r="B5" s="12" t="s">
        <v>1026</v>
      </c>
      <c r="C5" s="12" t="s">
        <v>1093</v>
      </c>
      <c r="D5" s="12" t="s">
        <v>1094</v>
      </c>
      <c r="E5" s="12" t="s">
        <v>1095</v>
      </c>
      <c r="F5" s="12" t="s">
        <v>1096</v>
      </c>
    </row>
    <row r="6" spans="1:6" ht="45" x14ac:dyDescent="0.25">
      <c r="A6" s="12">
        <v>5</v>
      </c>
      <c r="B6" s="12" t="s">
        <v>1097</v>
      </c>
      <c r="C6" s="12" t="s">
        <v>1098</v>
      </c>
      <c r="D6" s="12" t="s">
        <v>1099</v>
      </c>
      <c r="E6" s="12" t="s">
        <v>1100</v>
      </c>
      <c r="F6" s="12" t="s">
        <v>1101</v>
      </c>
    </row>
    <row r="7" spans="1:6" ht="30" x14ac:dyDescent="0.25">
      <c r="A7" s="12">
        <v>6</v>
      </c>
      <c r="B7" s="12" t="s">
        <v>1102</v>
      </c>
      <c r="C7" s="12" t="s">
        <v>1103</v>
      </c>
      <c r="D7" s="12" t="s">
        <v>1104</v>
      </c>
      <c r="E7" s="12" t="s">
        <v>1105</v>
      </c>
      <c r="F7" s="12" t="s">
        <v>1106</v>
      </c>
    </row>
    <row r="8" spans="1:6" ht="45" x14ac:dyDescent="0.25">
      <c r="A8" s="12">
        <v>7</v>
      </c>
      <c r="B8" s="12" t="s">
        <v>1107</v>
      </c>
      <c r="C8" s="12" t="s">
        <v>1108</v>
      </c>
      <c r="D8" s="12" t="s">
        <v>1094</v>
      </c>
      <c r="E8" s="12" t="s">
        <v>1109</v>
      </c>
      <c r="F8" s="12" t="s">
        <v>1110</v>
      </c>
    </row>
    <row r="9" spans="1:6" ht="30" x14ac:dyDescent="0.25">
      <c r="A9" s="12">
        <v>8</v>
      </c>
      <c r="B9" s="12" t="s">
        <v>1111</v>
      </c>
      <c r="C9" s="12" t="s">
        <v>1112</v>
      </c>
      <c r="D9" s="12" t="s">
        <v>1099</v>
      </c>
      <c r="E9" s="12" t="s">
        <v>1113</v>
      </c>
      <c r="F9" s="12" t="s">
        <v>1114</v>
      </c>
    </row>
    <row r="10" spans="1:6" ht="45" x14ac:dyDescent="0.25">
      <c r="A10" s="12">
        <v>9</v>
      </c>
      <c r="B10" s="12" t="s">
        <v>1115</v>
      </c>
      <c r="C10" s="12" t="s">
        <v>1116</v>
      </c>
      <c r="D10" s="12" t="s">
        <v>1117</v>
      </c>
      <c r="E10" s="12" t="s">
        <v>1118</v>
      </c>
      <c r="F10" s="12" t="s">
        <v>1119</v>
      </c>
    </row>
    <row r="11" spans="1:6" ht="30" x14ac:dyDescent="0.25">
      <c r="A11" s="12">
        <v>10</v>
      </c>
      <c r="B11" s="12" t="s">
        <v>1120</v>
      </c>
      <c r="C11" s="12" t="s">
        <v>1121</v>
      </c>
      <c r="D11" s="12" t="s">
        <v>34</v>
      </c>
      <c r="E11" s="12" t="s">
        <v>1122</v>
      </c>
      <c r="F11" s="12" t="s">
        <v>1123</v>
      </c>
    </row>
    <row r="12" spans="1:6" ht="30" x14ac:dyDescent="0.25">
      <c r="A12" s="12">
        <v>11</v>
      </c>
      <c r="B12" s="12" t="s">
        <v>1054</v>
      </c>
      <c r="C12" s="12" t="s">
        <v>1124</v>
      </c>
      <c r="D12" s="12" t="s">
        <v>1125</v>
      </c>
      <c r="E12" s="12" t="s">
        <v>1126</v>
      </c>
      <c r="F12" s="12" t="s">
        <v>1127</v>
      </c>
    </row>
    <row r="13" spans="1:6" ht="30" x14ac:dyDescent="0.25">
      <c r="A13" s="12">
        <v>12</v>
      </c>
      <c r="B13" s="12" t="s">
        <v>1128</v>
      </c>
      <c r="C13" s="12" t="s">
        <v>1129</v>
      </c>
      <c r="D13" s="12" t="s">
        <v>1125</v>
      </c>
      <c r="E13" s="12" t="s">
        <v>1130</v>
      </c>
      <c r="F13" s="12" t="s">
        <v>1131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3"/>
  <sheetViews>
    <sheetView showGridLines="0" workbookViewId="0">
      <pane ySplit="1" topLeftCell="A2" activePane="bottomLeft" state="frozen"/>
      <selection pane="bottomLeft"/>
    </sheetView>
  </sheetViews>
  <sheetFormatPr defaultRowHeight="15" x14ac:dyDescent="0.25"/>
  <cols>
    <col min="1" max="1" width="7" customWidth="1"/>
    <col min="2" max="2" width="32" customWidth="1"/>
    <col min="3" max="3" width="34" customWidth="1"/>
    <col min="4" max="4" width="28" customWidth="1"/>
    <col min="5" max="5" width="30" customWidth="1"/>
    <col min="6" max="6" width="15" customWidth="1"/>
  </cols>
  <sheetData>
    <row r="1" spans="1:7" x14ac:dyDescent="0.25">
      <c r="A1" s="11" t="s">
        <v>838</v>
      </c>
      <c r="B1" s="11" t="s">
        <v>1132</v>
      </c>
      <c r="C1" s="11" t="s">
        <v>1133</v>
      </c>
      <c r="D1" s="11" t="s">
        <v>1134</v>
      </c>
      <c r="E1" s="11" t="s">
        <v>1135</v>
      </c>
      <c r="F1" s="11" t="s">
        <v>1015</v>
      </c>
      <c r="G1" s="13"/>
    </row>
    <row r="2" spans="1:7" ht="30" x14ac:dyDescent="0.25">
      <c r="A2" s="12">
        <v>1</v>
      </c>
      <c r="B2" s="12" t="s">
        <v>1080</v>
      </c>
      <c r="C2" s="12" t="s">
        <v>1136</v>
      </c>
      <c r="D2" s="12" t="s">
        <v>1137</v>
      </c>
      <c r="E2" s="12" t="s">
        <v>904</v>
      </c>
      <c r="F2" s="12" t="s">
        <v>751</v>
      </c>
      <c r="G2" s="12"/>
    </row>
    <row r="3" spans="1:7" ht="30" x14ac:dyDescent="0.25">
      <c r="A3" s="12">
        <v>2</v>
      </c>
      <c r="B3" s="12" t="s">
        <v>1085</v>
      </c>
      <c r="C3" s="12" t="s">
        <v>1138</v>
      </c>
      <c r="D3" s="12" t="s">
        <v>1139</v>
      </c>
      <c r="E3" s="12" t="s">
        <v>904</v>
      </c>
      <c r="F3" s="12" t="s">
        <v>751</v>
      </c>
      <c r="G3" s="12"/>
    </row>
    <row r="4" spans="1:7" x14ac:dyDescent="0.25">
      <c r="A4" s="12">
        <v>3</v>
      </c>
      <c r="B4" s="12" t="s">
        <v>1089</v>
      </c>
      <c r="C4" s="12" t="s">
        <v>1140</v>
      </c>
      <c r="D4" s="12" t="s">
        <v>1141</v>
      </c>
      <c r="E4" s="12" t="s">
        <v>1142</v>
      </c>
      <c r="F4" s="12" t="s">
        <v>752</v>
      </c>
      <c r="G4" s="12"/>
    </row>
    <row r="5" spans="1:7" x14ac:dyDescent="0.25">
      <c r="A5" s="12">
        <v>4</v>
      </c>
      <c r="B5" s="12" t="s">
        <v>1026</v>
      </c>
      <c r="C5" s="12" t="s">
        <v>774</v>
      </c>
      <c r="D5" s="12" t="s">
        <v>1143</v>
      </c>
      <c r="E5" s="12" t="s">
        <v>1144</v>
      </c>
      <c r="F5" s="12" t="s">
        <v>753</v>
      </c>
      <c r="G5" s="12"/>
    </row>
    <row r="6" spans="1:7" x14ac:dyDescent="0.25">
      <c r="A6" s="12">
        <v>5</v>
      </c>
      <c r="B6" s="12" t="s">
        <v>1097</v>
      </c>
      <c r="C6" s="12" t="s">
        <v>781</v>
      </c>
      <c r="D6" s="12" t="s">
        <v>1145</v>
      </c>
      <c r="E6" s="12" t="s">
        <v>906</v>
      </c>
      <c r="F6" s="12" t="s">
        <v>754</v>
      </c>
      <c r="G6" s="12"/>
    </row>
    <row r="7" spans="1:7" ht="30" x14ac:dyDescent="0.25">
      <c r="A7" s="12">
        <v>6</v>
      </c>
      <c r="B7" s="12" t="s">
        <v>1102</v>
      </c>
      <c r="C7" s="12" t="s">
        <v>1146</v>
      </c>
      <c r="D7" s="12" t="s">
        <v>1147</v>
      </c>
      <c r="E7" s="12" t="s">
        <v>1148</v>
      </c>
      <c r="F7" s="12" t="s">
        <v>755</v>
      </c>
      <c r="G7" s="12"/>
    </row>
    <row r="8" spans="1:7" x14ac:dyDescent="0.25">
      <c r="A8" s="12">
        <v>7</v>
      </c>
      <c r="B8" s="12" t="s">
        <v>1107</v>
      </c>
      <c r="C8" s="12" t="s">
        <v>1149</v>
      </c>
      <c r="D8" s="12" t="s">
        <v>1150</v>
      </c>
      <c r="E8" s="12" t="s">
        <v>1151</v>
      </c>
      <c r="F8" s="12" t="s">
        <v>1152</v>
      </c>
      <c r="G8" s="12"/>
    </row>
    <row r="9" spans="1:7" x14ac:dyDescent="0.25">
      <c r="A9" s="12">
        <v>8</v>
      </c>
      <c r="B9" s="12" t="s">
        <v>1111</v>
      </c>
      <c r="C9" s="12" t="s">
        <v>1153</v>
      </c>
      <c r="D9" s="12" t="s">
        <v>1154</v>
      </c>
      <c r="E9" s="12" t="s">
        <v>1155</v>
      </c>
      <c r="F9" s="12" t="s">
        <v>1152</v>
      </c>
      <c r="G9" s="12"/>
    </row>
    <row r="10" spans="1:7" x14ac:dyDescent="0.25">
      <c r="A10" s="12">
        <v>9</v>
      </c>
      <c r="B10" s="12" t="s">
        <v>1115</v>
      </c>
      <c r="C10" s="12" t="s">
        <v>1156</v>
      </c>
      <c r="D10" s="12" t="s">
        <v>1157</v>
      </c>
      <c r="E10" s="12" t="s">
        <v>1158</v>
      </c>
      <c r="F10" s="12" t="s">
        <v>39</v>
      </c>
      <c r="G10" s="12"/>
    </row>
    <row r="11" spans="1:7" ht="30" x14ac:dyDescent="0.25">
      <c r="A11" s="12">
        <v>10</v>
      </c>
      <c r="B11" s="12" t="s">
        <v>1120</v>
      </c>
      <c r="C11" s="12" t="s">
        <v>1159</v>
      </c>
      <c r="D11" s="12" t="s">
        <v>1160</v>
      </c>
      <c r="E11" s="12" t="s">
        <v>1161</v>
      </c>
      <c r="F11" s="12" t="s">
        <v>1162</v>
      </c>
      <c r="G11" s="12"/>
    </row>
    <row r="12" spans="1:7" x14ac:dyDescent="0.25">
      <c r="A12" s="12">
        <v>11</v>
      </c>
      <c r="B12" s="12" t="s">
        <v>1054</v>
      </c>
      <c r="C12" s="12" t="s">
        <v>1163</v>
      </c>
      <c r="D12" s="12" t="s">
        <v>1164</v>
      </c>
      <c r="E12" s="12" t="s">
        <v>1165</v>
      </c>
      <c r="F12" s="12" t="s">
        <v>755</v>
      </c>
      <c r="G12" s="12"/>
    </row>
    <row r="13" spans="1:7" x14ac:dyDescent="0.25">
      <c r="A13" s="12">
        <v>12</v>
      </c>
      <c r="B13" s="12" t="s">
        <v>1128</v>
      </c>
      <c r="C13" s="12" t="s">
        <v>1166</v>
      </c>
      <c r="D13" s="12" t="s">
        <v>1167</v>
      </c>
      <c r="E13" s="12" t="s">
        <v>1168</v>
      </c>
      <c r="F13" s="12" t="s">
        <v>752</v>
      </c>
      <c r="G13" s="1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6"/>
  <sheetViews>
    <sheetView showGridLines="0" workbookViewId="0">
      <pane ySplit="1" topLeftCell="A2" activePane="bottomLeft" state="frozen"/>
      <selection pane="bottomLeft"/>
    </sheetView>
  </sheetViews>
  <sheetFormatPr defaultRowHeight="15" x14ac:dyDescent="0.25"/>
  <cols>
    <col min="1" max="1" width="7" customWidth="1"/>
    <col min="2" max="2" width="30" customWidth="1"/>
    <col min="3" max="3" width="22" customWidth="1"/>
    <col min="4" max="4" width="20" customWidth="1"/>
    <col min="5" max="6" width="30" customWidth="1"/>
    <col min="7" max="7" width="45" customWidth="1"/>
  </cols>
  <sheetData>
    <row r="1" spans="1:8" x14ac:dyDescent="0.25">
      <c r="A1" s="11" t="s">
        <v>838</v>
      </c>
      <c r="B1" s="11" t="s">
        <v>1169</v>
      </c>
      <c r="C1" s="11" t="s">
        <v>1170</v>
      </c>
      <c r="D1" s="11" t="s">
        <v>1171</v>
      </c>
      <c r="E1" s="11" t="s">
        <v>1172</v>
      </c>
      <c r="F1" s="11" t="s">
        <v>1173</v>
      </c>
      <c r="G1" s="11" t="s">
        <v>1174</v>
      </c>
      <c r="H1" s="13"/>
    </row>
    <row r="2" spans="1:8" ht="60" x14ac:dyDescent="0.25">
      <c r="A2" s="12">
        <v>1</v>
      </c>
      <c r="B2" s="12" t="s">
        <v>1080</v>
      </c>
      <c r="C2" s="12" t="s">
        <v>811</v>
      </c>
      <c r="D2" s="12" t="s">
        <v>35</v>
      </c>
      <c r="E2" s="12"/>
      <c r="F2" s="12" t="s">
        <v>1175</v>
      </c>
      <c r="G2" s="12"/>
      <c r="H2" s="12" t="s">
        <v>1176</v>
      </c>
    </row>
    <row r="3" spans="1:8" ht="45" x14ac:dyDescent="0.25">
      <c r="A3" s="12">
        <v>2</v>
      </c>
      <c r="B3" s="12" t="s">
        <v>1085</v>
      </c>
      <c r="C3" s="12" t="s">
        <v>812</v>
      </c>
      <c r="D3" s="12" t="s">
        <v>38</v>
      </c>
      <c r="E3" s="12"/>
      <c r="F3" s="12" t="s">
        <v>1177</v>
      </c>
      <c r="G3" s="12"/>
      <c r="H3" s="12" t="s">
        <v>1178</v>
      </c>
    </row>
    <row r="4" spans="1:8" ht="30" x14ac:dyDescent="0.25">
      <c r="A4" s="12">
        <v>3</v>
      </c>
      <c r="B4" s="12" t="s">
        <v>1089</v>
      </c>
      <c r="C4" s="12" t="s">
        <v>1179</v>
      </c>
      <c r="D4" s="12" t="s">
        <v>34</v>
      </c>
      <c r="E4" s="12"/>
      <c r="F4" s="12" t="s">
        <v>1175</v>
      </c>
      <c r="G4" s="12"/>
      <c r="H4" s="12" t="s">
        <v>1180</v>
      </c>
    </row>
    <row r="5" spans="1:8" ht="45" x14ac:dyDescent="0.25">
      <c r="A5" s="12">
        <v>4</v>
      </c>
      <c r="B5" s="12" t="s">
        <v>1026</v>
      </c>
      <c r="C5" s="12" t="s">
        <v>1181</v>
      </c>
      <c r="D5" s="12" t="s">
        <v>34</v>
      </c>
      <c r="E5" s="12" t="s">
        <v>35</v>
      </c>
      <c r="F5" s="12" t="s">
        <v>1175</v>
      </c>
      <c r="G5" s="12"/>
      <c r="H5" s="12" t="s">
        <v>1182</v>
      </c>
    </row>
    <row r="6" spans="1:8" ht="90" x14ac:dyDescent="0.25">
      <c r="A6" s="12">
        <v>5</v>
      </c>
      <c r="B6" s="12" t="s">
        <v>1097</v>
      </c>
      <c r="C6" s="12" t="s">
        <v>1183</v>
      </c>
      <c r="D6" s="12" t="s">
        <v>37</v>
      </c>
      <c r="E6" s="12"/>
      <c r="F6" s="12" t="s">
        <v>1184</v>
      </c>
      <c r="G6" s="12"/>
      <c r="H6" s="12" t="s">
        <v>1185</v>
      </c>
    </row>
    <row r="7" spans="1:8" ht="75" x14ac:dyDescent="0.25">
      <c r="A7" s="12">
        <v>6</v>
      </c>
      <c r="B7" s="12" t="s">
        <v>1102</v>
      </c>
      <c r="C7" s="12" t="s">
        <v>1186</v>
      </c>
      <c r="D7" s="12" t="s">
        <v>46</v>
      </c>
      <c r="E7" s="12"/>
      <c r="F7" s="12" t="s">
        <v>1187</v>
      </c>
      <c r="G7" s="12"/>
      <c r="H7" s="12" t="s">
        <v>1188</v>
      </c>
    </row>
    <row r="8" spans="1:8" ht="75" x14ac:dyDescent="0.25">
      <c r="A8" s="12">
        <v>7</v>
      </c>
      <c r="B8" s="12" t="s">
        <v>1107</v>
      </c>
      <c r="C8" s="12" t="s">
        <v>1189</v>
      </c>
      <c r="D8" s="12" t="s">
        <v>47</v>
      </c>
      <c r="E8" s="12"/>
      <c r="F8" s="12" t="s">
        <v>1175</v>
      </c>
      <c r="G8" s="12"/>
      <c r="H8" s="12" t="s">
        <v>1190</v>
      </c>
    </row>
    <row r="9" spans="1:8" ht="60" x14ac:dyDescent="0.25">
      <c r="A9" s="12">
        <v>8</v>
      </c>
      <c r="B9" s="12" t="s">
        <v>1111</v>
      </c>
      <c r="C9" s="12" t="s">
        <v>1191</v>
      </c>
      <c r="D9" s="12" t="s">
        <v>39</v>
      </c>
      <c r="E9" s="12"/>
      <c r="F9" s="12" t="s">
        <v>1175</v>
      </c>
      <c r="G9" s="12"/>
      <c r="H9" s="12" t="s">
        <v>1192</v>
      </c>
    </row>
    <row r="10" spans="1:8" ht="90" x14ac:dyDescent="0.25">
      <c r="A10" s="12">
        <v>9</v>
      </c>
      <c r="B10" s="12" t="s">
        <v>1115</v>
      </c>
      <c r="C10" s="12" t="s">
        <v>1193</v>
      </c>
      <c r="D10" s="12" t="s">
        <v>35</v>
      </c>
      <c r="E10" s="12" t="s">
        <v>38</v>
      </c>
      <c r="F10" s="12" t="s">
        <v>1175</v>
      </c>
      <c r="G10" s="12"/>
      <c r="H10" s="12" t="s">
        <v>1194</v>
      </c>
    </row>
    <row r="11" spans="1:8" ht="30" x14ac:dyDescent="0.25">
      <c r="A11" s="12">
        <v>10</v>
      </c>
      <c r="B11" s="12" t="s">
        <v>1120</v>
      </c>
      <c r="C11" s="12" t="s">
        <v>1195</v>
      </c>
      <c r="D11" s="12" t="s">
        <v>36</v>
      </c>
      <c r="E11" s="12"/>
      <c r="F11" s="12" t="s">
        <v>1177</v>
      </c>
      <c r="G11" s="12"/>
      <c r="H11" s="12" t="s">
        <v>1196</v>
      </c>
    </row>
    <row r="12" spans="1:8" ht="45" x14ac:dyDescent="0.25">
      <c r="A12" s="12">
        <v>11</v>
      </c>
      <c r="B12" s="12" t="s">
        <v>1054</v>
      </c>
      <c r="C12" s="12" t="s">
        <v>1197</v>
      </c>
      <c r="D12" s="12" t="s">
        <v>42</v>
      </c>
      <c r="E12" s="12"/>
      <c r="F12" s="12" t="s">
        <v>1184</v>
      </c>
      <c r="G12" s="12"/>
      <c r="H12" s="12" t="s">
        <v>1198</v>
      </c>
    </row>
    <row r="13" spans="1:8" ht="45" x14ac:dyDescent="0.25">
      <c r="A13" s="12">
        <v>12</v>
      </c>
      <c r="B13" s="12" t="s">
        <v>1128</v>
      </c>
      <c r="C13" s="12" t="s">
        <v>1199</v>
      </c>
      <c r="D13" s="12" t="s">
        <v>37</v>
      </c>
      <c r="E13" s="12"/>
      <c r="F13" s="12" t="s">
        <v>1200</v>
      </c>
      <c r="G13" s="12"/>
      <c r="H13" s="12" t="s">
        <v>1201</v>
      </c>
    </row>
    <row r="14" spans="1:8" ht="30" x14ac:dyDescent="0.25">
      <c r="A14" s="12">
        <v>13</v>
      </c>
      <c r="B14" s="12" t="s">
        <v>1202</v>
      </c>
      <c r="C14" s="12" t="s">
        <v>1203</v>
      </c>
      <c r="D14" s="12" t="s">
        <v>1204</v>
      </c>
      <c r="E14" s="12" t="s">
        <v>35</v>
      </c>
      <c r="F14" s="12" t="s">
        <v>43</v>
      </c>
      <c r="G14" s="12"/>
      <c r="H14" s="12" t="s">
        <v>1205</v>
      </c>
    </row>
    <row r="15" spans="1:8" ht="30" x14ac:dyDescent="0.25">
      <c r="A15" s="12">
        <v>14</v>
      </c>
      <c r="B15" s="12" t="s">
        <v>1206</v>
      </c>
      <c r="C15" s="12" t="s">
        <v>965</v>
      </c>
      <c r="D15" s="12" t="s">
        <v>37</v>
      </c>
      <c r="E15" s="12"/>
      <c r="F15" s="12" t="s">
        <v>43</v>
      </c>
      <c r="G15" s="12"/>
      <c r="H15" s="12" t="s">
        <v>1207</v>
      </c>
    </row>
    <row r="16" spans="1:8" ht="75" x14ac:dyDescent="0.25">
      <c r="A16" s="12">
        <v>15</v>
      </c>
      <c r="B16" s="12" t="s">
        <v>1024</v>
      </c>
      <c r="C16" s="12" t="s">
        <v>965</v>
      </c>
      <c r="D16" s="12" t="s">
        <v>35</v>
      </c>
      <c r="E16" s="12"/>
      <c r="F16" s="12" t="s">
        <v>45</v>
      </c>
      <c r="G16" s="12"/>
      <c r="H16" s="12" t="s">
        <v>1208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showGridLines="0" workbookViewId="0">
      <pane ySplit="1" topLeftCell="A2" activePane="bottomLeft" state="frozen"/>
      <selection pane="bottomLeft"/>
    </sheetView>
  </sheetViews>
  <sheetFormatPr defaultRowHeight="15" x14ac:dyDescent="0.25"/>
  <cols>
    <col min="1" max="1" width="8" customWidth="1"/>
    <col min="2" max="2" width="34" customWidth="1"/>
    <col min="3" max="3" width="22" customWidth="1"/>
    <col min="4" max="4" width="45" customWidth="1"/>
    <col min="5" max="5" width="12" customWidth="1"/>
  </cols>
  <sheetData>
    <row r="1" spans="1:6" x14ac:dyDescent="0.25">
      <c r="A1" s="11" t="s">
        <v>1209</v>
      </c>
      <c r="B1" s="11" t="s">
        <v>1210</v>
      </c>
      <c r="C1" s="11" t="s">
        <v>1211</v>
      </c>
      <c r="D1" s="11" t="s">
        <v>1212</v>
      </c>
      <c r="E1" s="11" t="s">
        <v>1213</v>
      </c>
      <c r="F1" s="13"/>
    </row>
    <row r="2" spans="1:6" x14ac:dyDescent="0.25">
      <c r="A2" s="12">
        <v>1</v>
      </c>
      <c r="B2" s="12" t="s">
        <v>1080</v>
      </c>
      <c r="C2" s="12" t="s">
        <v>1214</v>
      </c>
      <c r="D2" s="12" t="s">
        <v>4</v>
      </c>
      <c r="E2" s="12" t="s">
        <v>80</v>
      </c>
      <c r="F2" s="12"/>
    </row>
    <row r="3" spans="1:6" x14ac:dyDescent="0.25">
      <c r="A3" s="12">
        <v>2</v>
      </c>
      <c r="B3" s="12" t="s">
        <v>1085</v>
      </c>
      <c r="C3" s="12" t="s">
        <v>1215</v>
      </c>
      <c r="D3" s="12" t="s">
        <v>4</v>
      </c>
      <c r="E3" s="12" t="s">
        <v>80</v>
      </c>
      <c r="F3" s="12"/>
    </row>
    <row r="4" spans="1:6" x14ac:dyDescent="0.25">
      <c r="A4" s="12">
        <v>3</v>
      </c>
      <c r="B4" s="12" t="s">
        <v>1089</v>
      </c>
      <c r="C4" s="12" t="s">
        <v>1216</v>
      </c>
      <c r="D4" s="12" t="s">
        <v>4</v>
      </c>
      <c r="E4" s="12" t="s">
        <v>80</v>
      </c>
      <c r="F4" s="12"/>
    </row>
    <row r="5" spans="1:6" x14ac:dyDescent="0.25">
      <c r="A5" s="12">
        <v>4</v>
      </c>
      <c r="B5" s="12" t="s">
        <v>1026</v>
      </c>
      <c r="C5" s="12" t="s">
        <v>1217</v>
      </c>
      <c r="D5" s="12" t="s">
        <v>4</v>
      </c>
      <c r="E5" s="12" t="s">
        <v>80</v>
      </c>
      <c r="F5" s="12"/>
    </row>
    <row r="6" spans="1:6" x14ac:dyDescent="0.25">
      <c r="A6" s="12">
        <v>5</v>
      </c>
      <c r="B6" s="12" t="s">
        <v>1097</v>
      </c>
      <c r="C6" s="12" t="s">
        <v>809</v>
      </c>
      <c r="D6" s="12" t="s">
        <v>4</v>
      </c>
      <c r="E6" s="12" t="s">
        <v>80</v>
      </c>
      <c r="F6" s="12"/>
    </row>
    <row r="7" spans="1:6" ht="30" x14ac:dyDescent="0.25">
      <c r="A7" s="12">
        <v>6</v>
      </c>
      <c r="B7" s="12" t="s">
        <v>1102</v>
      </c>
      <c r="C7" s="12" t="s">
        <v>811</v>
      </c>
      <c r="D7" s="12" t="s">
        <v>1218</v>
      </c>
      <c r="E7" s="12" t="s">
        <v>1219</v>
      </c>
      <c r="F7" s="12"/>
    </row>
    <row r="8" spans="1:6" x14ac:dyDescent="0.25">
      <c r="A8" s="12">
        <v>7</v>
      </c>
      <c r="B8" s="12" t="s">
        <v>1107</v>
      </c>
      <c r="C8" s="12" t="s">
        <v>812</v>
      </c>
      <c r="D8" s="12" t="s">
        <v>1218</v>
      </c>
      <c r="E8" s="12" t="s">
        <v>1220</v>
      </c>
      <c r="F8" s="12"/>
    </row>
    <row r="9" spans="1:6" ht="30" x14ac:dyDescent="0.25">
      <c r="A9" s="12">
        <v>8</v>
      </c>
      <c r="B9" s="12" t="s">
        <v>1111</v>
      </c>
      <c r="C9" s="12" t="s">
        <v>813</v>
      </c>
      <c r="D9" s="12" t="s">
        <v>1218</v>
      </c>
      <c r="E9" s="12" t="s">
        <v>1221</v>
      </c>
      <c r="F9" s="12"/>
    </row>
    <row r="10" spans="1:6" x14ac:dyDescent="0.25">
      <c r="A10" s="12">
        <v>9</v>
      </c>
      <c r="B10" s="12" t="s">
        <v>1115</v>
      </c>
      <c r="C10" s="12" t="s">
        <v>814</v>
      </c>
      <c r="D10" s="12" t="s">
        <v>1218</v>
      </c>
      <c r="E10" s="12" t="s">
        <v>1220</v>
      </c>
      <c r="F10" s="12"/>
    </row>
    <row r="11" spans="1:6" ht="30" x14ac:dyDescent="0.25">
      <c r="A11" s="12">
        <v>10</v>
      </c>
      <c r="B11" s="12" t="s">
        <v>1120</v>
      </c>
      <c r="C11" s="12" t="s">
        <v>815</v>
      </c>
      <c r="D11" s="12" t="s">
        <v>1218</v>
      </c>
      <c r="E11" s="12" t="s">
        <v>1222</v>
      </c>
      <c r="F11" s="12"/>
    </row>
    <row r="12" spans="1:6" x14ac:dyDescent="0.25">
      <c r="A12" s="12">
        <v>11</v>
      </c>
      <c r="B12" s="12" t="s">
        <v>1054</v>
      </c>
      <c r="C12" s="12" t="s">
        <v>1223</v>
      </c>
      <c r="D12" s="12" t="s">
        <v>1218</v>
      </c>
      <c r="E12" s="12" t="s">
        <v>1224</v>
      </c>
      <c r="F12" s="12"/>
    </row>
    <row r="13" spans="1:6" x14ac:dyDescent="0.25">
      <c r="A13" s="12">
        <v>12</v>
      </c>
      <c r="B13" s="12" t="s">
        <v>1128</v>
      </c>
      <c r="C13" s="12" t="s">
        <v>1225</v>
      </c>
      <c r="D13" s="12" t="s">
        <v>1218</v>
      </c>
      <c r="E13" s="12" t="s">
        <v>1224</v>
      </c>
      <c r="F13" s="12"/>
    </row>
    <row r="14" spans="1:6" ht="30" x14ac:dyDescent="0.25">
      <c r="A14" s="12">
        <v>13</v>
      </c>
      <c r="B14" s="12" t="s">
        <v>1202</v>
      </c>
      <c r="C14" s="12" t="s">
        <v>1226</v>
      </c>
      <c r="D14" s="12" t="s">
        <v>1218</v>
      </c>
      <c r="E14" s="12" t="s">
        <v>1227</v>
      </c>
      <c r="F14" s="12"/>
    </row>
    <row r="15" spans="1:6" ht="60" x14ac:dyDescent="0.25">
      <c r="A15" s="12">
        <v>14</v>
      </c>
      <c r="B15" s="12" t="s">
        <v>1206</v>
      </c>
      <c r="C15" s="12" t="s">
        <v>1228</v>
      </c>
      <c r="D15" s="12" t="s">
        <v>18</v>
      </c>
      <c r="E15" s="12" t="s">
        <v>1229</v>
      </c>
      <c r="F15" s="12"/>
    </row>
    <row r="16" spans="1:6" ht="45" x14ac:dyDescent="0.25">
      <c r="A16" s="12">
        <v>15</v>
      </c>
      <c r="B16" s="12" t="s">
        <v>1024</v>
      </c>
      <c r="C16" s="12" t="s">
        <v>1230</v>
      </c>
      <c r="D16" s="12" t="s">
        <v>1231</v>
      </c>
      <c r="E16" s="12" t="s">
        <v>1232</v>
      </c>
      <c r="F16" s="1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4"/>
  <sheetViews>
    <sheetView showGridLines="0" workbookViewId="0">
      <pane ySplit="1" topLeftCell="A25" activePane="bottomLeft" state="frozen"/>
      <selection pane="bottomLeft"/>
    </sheetView>
  </sheetViews>
  <sheetFormatPr defaultRowHeight="15" x14ac:dyDescent="0.25"/>
  <cols>
    <col min="1" max="1" width="7" customWidth="1"/>
    <col min="2" max="2" width="24" customWidth="1"/>
    <col min="3" max="3" width="50" customWidth="1"/>
    <col min="4" max="4" width="38" customWidth="1"/>
    <col min="5" max="5" width="14" customWidth="1"/>
  </cols>
  <sheetData>
    <row r="1" spans="1:5" x14ac:dyDescent="0.25">
      <c r="A1" s="11" t="s">
        <v>838</v>
      </c>
      <c r="B1" s="11" t="s">
        <v>38</v>
      </c>
      <c r="C1" s="11" t="s">
        <v>1233</v>
      </c>
      <c r="D1" s="11" t="s">
        <v>1234</v>
      </c>
      <c r="E1" s="11" t="s">
        <v>1235</v>
      </c>
    </row>
    <row r="2" spans="1:5" x14ac:dyDescent="0.25">
      <c r="A2" s="12">
        <v>1</v>
      </c>
      <c r="B2" s="12" t="s">
        <v>803</v>
      </c>
      <c r="C2" s="12" t="s">
        <v>804</v>
      </c>
      <c r="D2" s="12"/>
      <c r="E2" s="12" t="s">
        <v>1236</v>
      </c>
    </row>
    <row r="3" spans="1:5" x14ac:dyDescent="0.25">
      <c r="A3" s="12">
        <v>2</v>
      </c>
      <c r="B3" s="12" t="s">
        <v>803</v>
      </c>
      <c r="C3" s="12" t="s">
        <v>806</v>
      </c>
      <c r="D3" s="12"/>
      <c r="E3" s="12" t="s">
        <v>1236</v>
      </c>
    </row>
    <row r="4" spans="1:5" x14ac:dyDescent="0.25">
      <c r="A4" s="12">
        <v>3</v>
      </c>
      <c r="B4" s="12" t="s">
        <v>803</v>
      </c>
      <c r="C4" s="12" t="s">
        <v>809</v>
      </c>
      <c r="D4" s="12"/>
      <c r="E4" s="12" t="s">
        <v>1236</v>
      </c>
    </row>
    <row r="5" spans="1:5" x14ac:dyDescent="0.25">
      <c r="A5" s="12">
        <v>4</v>
      </c>
      <c r="B5" s="12" t="s">
        <v>803</v>
      </c>
      <c r="C5" s="12" t="s">
        <v>1237</v>
      </c>
      <c r="D5" s="12"/>
      <c r="E5" s="12" t="s">
        <v>1236</v>
      </c>
    </row>
    <row r="6" spans="1:5" x14ac:dyDescent="0.25">
      <c r="A6" s="12">
        <v>5</v>
      </c>
      <c r="B6" s="12" t="s">
        <v>803</v>
      </c>
      <c r="C6" s="12" t="s">
        <v>1238</v>
      </c>
      <c r="D6" s="12"/>
      <c r="E6" s="12" t="s">
        <v>1236</v>
      </c>
    </row>
    <row r="7" spans="1:5" x14ac:dyDescent="0.25">
      <c r="A7" s="12">
        <v>6</v>
      </c>
      <c r="B7" s="12" t="s">
        <v>803</v>
      </c>
      <c r="C7" s="12" t="s">
        <v>1239</v>
      </c>
      <c r="D7" s="12"/>
      <c r="E7" s="12" t="s">
        <v>1236</v>
      </c>
    </row>
    <row r="8" spans="1:5" x14ac:dyDescent="0.25">
      <c r="A8" s="12">
        <v>7</v>
      </c>
      <c r="B8" s="12" t="s">
        <v>803</v>
      </c>
      <c r="C8" s="12" t="s">
        <v>1240</v>
      </c>
      <c r="D8" s="12"/>
      <c r="E8" s="12" t="s">
        <v>1236</v>
      </c>
    </row>
    <row r="9" spans="1:5" x14ac:dyDescent="0.25">
      <c r="A9" s="12">
        <v>8</v>
      </c>
      <c r="B9" s="12" t="s">
        <v>803</v>
      </c>
      <c r="C9" s="12" t="s">
        <v>1241</v>
      </c>
      <c r="D9" s="12"/>
      <c r="E9" s="12" t="s">
        <v>1236</v>
      </c>
    </row>
    <row r="10" spans="1:5" x14ac:dyDescent="0.25">
      <c r="A10" s="12">
        <v>9</v>
      </c>
      <c r="B10" s="12" t="s">
        <v>803</v>
      </c>
      <c r="C10" s="12" t="s">
        <v>1242</v>
      </c>
      <c r="D10" s="12"/>
      <c r="E10" s="12" t="s">
        <v>1236</v>
      </c>
    </row>
    <row r="11" spans="1:5" x14ac:dyDescent="0.25">
      <c r="A11" s="12">
        <v>10</v>
      </c>
      <c r="B11" s="12" t="s">
        <v>803</v>
      </c>
      <c r="C11" s="12" t="s">
        <v>1243</v>
      </c>
      <c r="D11" s="12"/>
      <c r="E11" s="12" t="s">
        <v>1236</v>
      </c>
    </row>
    <row r="12" spans="1:5" x14ac:dyDescent="0.25">
      <c r="A12" s="12">
        <v>11</v>
      </c>
      <c r="B12" s="12" t="s">
        <v>803</v>
      </c>
      <c r="C12" s="12" t="s">
        <v>1244</v>
      </c>
      <c r="D12" s="12"/>
      <c r="E12" s="12" t="s">
        <v>1236</v>
      </c>
    </row>
    <row r="13" spans="1:5" x14ac:dyDescent="0.25">
      <c r="A13" s="12">
        <v>12</v>
      </c>
      <c r="B13" s="12" t="s">
        <v>803</v>
      </c>
      <c r="C13" s="12" t="s">
        <v>1245</v>
      </c>
      <c r="D13" s="12"/>
      <c r="E13" s="12" t="s">
        <v>1236</v>
      </c>
    </row>
    <row r="14" spans="1:5" x14ac:dyDescent="0.25">
      <c r="A14" s="12">
        <v>13</v>
      </c>
      <c r="B14" s="12" t="s">
        <v>803</v>
      </c>
      <c r="C14" s="12" t="s">
        <v>1246</v>
      </c>
      <c r="D14" s="12"/>
      <c r="E14" s="12" t="s">
        <v>1236</v>
      </c>
    </row>
    <row r="15" spans="1:5" x14ac:dyDescent="0.25">
      <c r="A15" s="12">
        <v>14</v>
      </c>
      <c r="B15" s="12" t="s">
        <v>803</v>
      </c>
      <c r="C15" s="12" t="s">
        <v>1247</v>
      </c>
      <c r="D15" s="12"/>
      <c r="E15" s="12" t="s">
        <v>1236</v>
      </c>
    </row>
    <row r="16" spans="1:5" x14ac:dyDescent="0.25">
      <c r="A16" s="12">
        <v>15</v>
      </c>
      <c r="B16" s="12" t="s">
        <v>1248</v>
      </c>
      <c r="C16" s="12" t="s">
        <v>1249</v>
      </c>
      <c r="D16" s="12"/>
      <c r="E16" s="12" t="s">
        <v>1236</v>
      </c>
    </row>
    <row r="17" spans="1:5" x14ac:dyDescent="0.25">
      <c r="A17" s="12">
        <v>16</v>
      </c>
      <c r="B17" s="12" t="s">
        <v>1248</v>
      </c>
      <c r="C17" s="12" t="s">
        <v>1250</v>
      </c>
      <c r="D17" s="12"/>
      <c r="E17" s="12" t="s">
        <v>1236</v>
      </c>
    </row>
    <row r="18" spans="1:5" x14ac:dyDescent="0.25">
      <c r="A18" s="12">
        <v>17</v>
      </c>
      <c r="B18" s="12" t="s">
        <v>1248</v>
      </c>
      <c r="C18" s="12" t="s">
        <v>1251</v>
      </c>
      <c r="D18" s="12"/>
      <c r="E18" s="12" t="s">
        <v>1236</v>
      </c>
    </row>
    <row r="19" spans="1:5" x14ac:dyDescent="0.25">
      <c r="A19" s="12">
        <v>18</v>
      </c>
      <c r="B19" s="12" t="s">
        <v>1248</v>
      </c>
      <c r="C19" s="12" t="s">
        <v>1252</v>
      </c>
      <c r="D19" s="12"/>
      <c r="E19" s="12" t="s">
        <v>1236</v>
      </c>
    </row>
    <row r="20" spans="1:5" x14ac:dyDescent="0.25">
      <c r="A20" s="12">
        <v>19</v>
      </c>
      <c r="B20" s="12" t="s">
        <v>1248</v>
      </c>
      <c r="C20" s="12" t="s">
        <v>1253</v>
      </c>
      <c r="D20" s="12"/>
      <c r="E20" s="12" t="s">
        <v>1236</v>
      </c>
    </row>
    <row r="21" spans="1:5" x14ac:dyDescent="0.25">
      <c r="A21" s="12">
        <v>20</v>
      </c>
      <c r="B21" s="12" t="s">
        <v>1254</v>
      </c>
      <c r="C21" s="12" t="s">
        <v>1255</v>
      </c>
      <c r="D21" s="12"/>
      <c r="E21" s="12" t="s">
        <v>1236</v>
      </c>
    </row>
    <row r="22" spans="1:5" x14ac:dyDescent="0.25">
      <c r="A22" s="12">
        <v>21</v>
      </c>
      <c r="B22" s="12" t="s">
        <v>1254</v>
      </c>
      <c r="C22" s="12" t="s">
        <v>1256</v>
      </c>
      <c r="D22" s="12"/>
      <c r="E22" s="12" t="s">
        <v>1236</v>
      </c>
    </row>
    <row r="23" spans="1:5" x14ac:dyDescent="0.25">
      <c r="A23" s="12">
        <v>22</v>
      </c>
      <c r="B23" s="12" t="s">
        <v>1254</v>
      </c>
      <c r="C23" s="12" t="s">
        <v>1257</v>
      </c>
      <c r="D23" s="12"/>
      <c r="E23" s="12" t="s">
        <v>1236</v>
      </c>
    </row>
    <row r="24" spans="1:5" x14ac:dyDescent="0.25">
      <c r="A24" s="12">
        <v>23</v>
      </c>
      <c r="B24" s="12" t="s">
        <v>1254</v>
      </c>
      <c r="C24" s="12" t="s">
        <v>1258</v>
      </c>
      <c r="D24" s="12"/>
      <c r="E24" s="12" t="s">
        <v>1236</v>
      </c>
    </row>
    <row r="25" spans="1:5" x14ac:dyDescent="0.25">
      <c r="A25" s="12">
        <v>24</v>
      </c>
      <c r="B25" s="12" t="s">
        <v>1254</v>
      </c>
      <c r="C25" s="12" t="s">
        <v>1259</v>
      </c>
      <c r="D25" s="12"/>
      <c r="E25" s="12" t="s">
        <v>1236</v>
      </c>
    </row>
    <row r="26" spans="1:5" x14ac:dyDescent="0.25">
      <c r="A26" s="12">
        <v>25</v>
      </c>
      <c r="B26" s="12" t="s">
        <v>1254</v>
      </c>
      <c r="C26" s="12" t="s">
        <v>1260</v>
      </c>
      <c r="D26" s="12"/>
      <c r="E26" s="12" t="s">
        <v>1236</v>
      </c>
    </row>
    <row r="27" spans="1:5" x14ac:dyDescent="0.25">
      <c r="A27" s="12">
        <v>26</v>
      </c>
      <c r="B27" s="12" t="s">
        <v>910</v>
      </c>
      <c r="C27" s="12" t="s">
        <v>1261</v>
      </c>
      <c r="D27" s="12"/>
      <c r="E27" s="12" t="s">
        <v>1236</v>
      </c>
    </row>
    <row r="28" spans="1:5" x14ac:dyDescent="0.25">
      <c r="A28" s="12">
        <v>27</v>
      </c>
      <c r="B28" s="12" t="s">
        <v>910</v>
      </c>
      <c r="C28" s="12" t="s">
        <v>1204</v>
      </c>
      <c r="D28" s="12"/>
      <c r="E28" s="12" t="s">
        <v>1236</v>
      </c>
    </row>
    <row r="29" spans="1:5" x14ac:dyDescent="0.25">
      <c r="A29" s="12">
        <v>28</v>
      </c>
      <c r="B29" s="12" t="s">
        <v>910</v>
      </c>
      <c r="C29" s="12" t="s">
        <v>1033</v>
      </c>
      <c r="D29" s="12"/>
      <c r="E29" s="12" t="s">
        <v>1236</v>
      </c>
    </row>
    <row r="30" spans="1:5" x14ac:dyDescent="0.25">
      <c r="A30" s="12">
        <v>29</v>
      </c>
      <c r="B30" s="12" t="s">
        <v>910</v>
      </c>
      <c r="C30" s="12" t="s">
        <v>1262</v>
      </c>
      <c r="D30" s="12"/>
      <c r="E30" s="12" t="s">
        <v>1236</v>
      </c>
    </row>
    <row r="31" spans="1:5" x14ac:dyDescent="0.25">
      <c r="A31" s="12">
        <v>30</v>
      </c>
      <c r="B31" s="12" t="s">
        <v>910</v>
      </c>
      <c r="C31" s="12" t="s">
        <v>1263</v>
      </c>
      <c r="D31" s="12"/>
      <c r="E31" s="12" t="s">
        <v>1264</v>
      </c>
    </row>
    <row r="32" spans="1:5" x14ac:dyDescent="0.25">
      <c r="A32" s="12">
        <v>31</v>
      </c>
      <c r="B32" s="12" t="s">
        <v>910</v>
      </c>
      <c r="C32" s="12" t="s">
        <v>1047</v>
      </c>
      <c r="D32" s="12"/>
      <c r="E32" s="12" t="s">
        <v>1264</v>
      </c>
    </row>
    <row r="33" spans="1:5" x14ac:dyDescent="0.25">
      <c r="A33" s="12">
        <v>32</v>
      </c>
      <c r="B33" s="12" t="s">
        <v>893</v>
      </c>
      <c r="C33" s="12" t="s">
        <v>1265</v>
      </c>
      <c r="D33" s="12"/>
      <c r="E33" s="12" t="s">
        <v>1264</v>
      </c>
    </row>
    <row r="34" spans="1:5" x14ac:dyDescent="0.25">
      <c r="A34" s="12">
        <v>33</v>
      </c>
      <c r="B34" s="12" t="s">
        <v>893</v>
      </c>
      <c r="C34" s="12" t="s">
        <v>1266</v>
      </c>
      <c r="D34" s="12"/>
      <c r="E34" s="12" t="s">
        <v>1264</v>
      </c>
    </row>
    <row r="35" spans="1:5" x14ac:dyDescent="0.25">
      <c r="A35" s="12">
        <v>34</v>
      </c>
      <c r="B35" s="12" t="s">
        <v>893</v>
      </c>
      <c r="C35" s="12" t="s">
        <v>1070</v>
      </c>
      <c r="D35" s="12"/>
      <c r="E35" s="12" t="s">
        <v>1264</v>
      </c>
    </row>
    <row r="36" spans="1:5" x14ac:dyDescent="0.25">
      <c r="A36" s="12">
        <v>35</v>
      </c>
      <c r="B36" s="12" t="s">
        <v>893</v>
      </c>
      <c r="C36" s="12" t="s">
        <v>1267</v>
      </c>
      <c r="D36" s="12"/>
      <c r="E36" s="12" t="s">
        <v>1264</v>
      </c>
    </row>
    <row r="37" spans="1:5" x14ac:dyDescent="0.25">
      <c r="A37" s="12">
        <v>36</v>
      </c>
      <c r="B37" s="12" t="s">
        <v>893</v>
      </c>
      <c r="C37" s="12" t="s">
        <v>1268</v>
      </c>
      <c r="D37" s="12"/>
      <c r="E37" s="12" t="s">
        <v>1264</v>
      </c>
    </row>
    <row r="38" spans="1:5" x14ac:dyDescent="0.25">
      <c r="A38" s="12">
        <v>37</v>
      </c>
      <c r="B38" s="12" t="s">
        <v>951</v>
      </c>
      <c r="C38" s="12" t="s">
        <v>1269</v>
      </c>
      <c r="D38" s="12"/>
      <c r="E38" s="12" t="s">
        <v>1264</v>
      </c>
    </row>
    <row r="39" spans="1:5" x14ac:dyDescent="0.25">
      <c r="A39" s="12">
        <v>38</v>
      </c>
      <c r="B39" s="12" t="s">
        <v>951</v>
      </c>
      <c r="C39" s="12" t="s">
        <v>1270</v>
      </c>
      <c r="D39" s="12"/>
      <c r="E39" s="12" t="s">
        <v>1264</v>
      </c>
    </row>
    <row r="40" spans="1:5" x14ac:dyDescent="0.25">
      <c r="A40" s="12">
        <v>39</v>
      </c>
      <c r="B40" s="12" t="s">
        <v>951</v>
      </c>
      <c r="C40" s="12" t="s">
        <v>1271</v>
      </c>
      <c r="D40" s="12"/>
      <c r="E40" s="12" t="s">
        <v>1264</v>
      </c>
    </row>
    <row r="41" spans="1:5" x14ac:dyDescent="0.25">
      <c r="A41" s="12">
        <v>40</v>
      </c>
      <c r="B41" s="12" t="s">
        <v>951</v>
      </c>
      <c r="C41" s="12" t="s">
        <v>1272</v>
      </c>
      <c r="D41" s="12"/>
      <c r="E41" s="12" t="s">
        <v>1264</v>
      </c>
    </row>
    <row r="42" spans="1:5" x14ac:dyDescent="0.25">
      <c r="A42" s="12">
        <v>41</v>
      </c>
      <c r="B42" s="12" t="s">
        <v>1273</v>
      </c>
      <c r="C42" s="12" t="s">
        <v>1081</v>
      </c>
      <c r="D42" s="12"/>
      <c r="E42" s="12" t="s">
        <v>1264</v>
      </c>
    </row>
    <row r="43" spans="1:5" x14ac:dyDescent="0.25">
      <c r="A43" s="12">
        <v>42</v>
      </c>
      <c r="B43" s="12" t="s">
        <v>1273</v>
      </c>
      <c r="C43" s="12" t="s">
        <v>1274</v>
      </c>
      <c r="D43" s="12"/>
      <c r="E43" s="12" t="s">
        <v>1264</v>
      </c>
    </row>
    <row r="44" spans="1:5" x14ac:dyDescent="0.25">
      <c r="A44" s="12">
        <v>43</v>
      </c>
      <c r="B44" s="12" t="s">
        <v>1273</v>
      </c>
      <c r="C44" s="12" t="s">
        <v>1275</v>
      </c>
      <c r="D44" s="12"/>
      <c r="E44" s="12" t="s">
        <v>1264</v>
      </c>
    </row>
    <row r="45" spans="1:5" x14ac:dyDescent="0.25">
      <c r="A45" s="12">
        <v>44</v>
      </c>
      <c r="B45" s="12" t="s">
        <v>1273</v>
      </c>
      <c r="C45" s="12" t="s">
        <v>1276</v>
      </c>
      <c r="D45" s="12"/>
      <c r="E45" s="12" t="s">
        <v>1264</v>
      </c>
    </row>
    <row r="46" spans="1:5" x14ac:dyDescent="0.25">
      <c r="A46" s="12">
        <v>45</v>
      </c>
      <c r="B46" s="12" t="s">
        <v>1277</v>
      </c>
      <c r="C46" s="12" t="s">
        <v>795</v>
      </c>
      <c r="D46" s="12"/>
      <c r="E46" s="12" t="s">
        <v>1264</v>
      </c>
    </row>
    <row r="47" spans="1:5" x14ac:dyDescent="0.25">
      <c r="A47" s="12">
        <v>46</v>
      </c>
      <c r="B47" s="12" t="s">
        <v>1277</v>
      </c>
      <c r="C47" s="12" t="s">
        <v>1278</v>
      </c>
      <c r="D47" s="12"/>
      <c r="E47" s="12" t="s">
        <v>1264</v>
      </c>
    </row>
    <row r="48" spans="1:5" x14ac:dyDescent="0.25">
      <c r="A48" s="12">
        <v>47</v>
      </c>
      <c r="B48" s="12" t="s">
        <v>1277</v>
      </c>
      <c r="C48" s="12" t="s">
        <v>1279</v>
      </c>
      <c r="D48" s="12"/>
      <c r="E48" s="12" t="s">
        <v>1264</v>
      </c>
    </row>
    <row r="49" spans="1:5" x14ac:dyDescent="0.25">
      <c r="A49" s="12">
        <v>48</v>
      </c>
      <c r="B49" s="12" t="s">
        <v>1277</v>
      </c>
      <c r="C49" s="12" t="s">
        <v>1280</v>
      </c>
      <c r="D49" s="12"/>
      <c r="E49" s="12" t="s">
        <v>1264</v>
      </c>
    </row>
    <row r="50" spans="1:5" x14ac:dyDescent="0.25">
      <c r="A50" s="12">
        <v>49</v>
      </c>
      <c r="B50" s="12" t="s">
        <v>1277</v>
      </c>
      <c r="C50" s="12" t="s">
        <v>1074</v>
      </c>
      <c r="D50" s="12"/>
      <c r="E50" s="12" t="s">
        <v>1264</v>
      </c>
    </row>
    <row r="51" spans="1:5" x14ac:dyDescent="0.25">
      <c r="A51" s="12">
        <v>50</v>
      </c>
      <c r="B51" s="12" t="s">
        <v>1218</v>
      </c>
      <c r="C51" s="12" t="s">
        <v>811</v>
      </c>
      <c r="D51" s="12"/>
      <c r="E51" s="12" t="s">
        <v>1264</v>
      </c>
    </row>
    <row r="52" spans="1:5" x14ac:dyDescent="0.25">
      <c r="A52" s="12">
        <v>51</v>
      </c>
      <c r="B52" s="12" t="s">
        <v>1218</v>
      </c>
      <c r="C52" s="12" t="s">
        <v>812</v>
      </c>
      <c r="D52" s="12"/>
      <c r="E52" s="12" t="s">
        <v>1264</v>
      </c>
    </row>
    <row r="53" spans="1:5" x14ac:dyDescent="0.25">
      <c r="A53" s="12">
        <v>52</v>
      </c>
      <c r="B53" s="12" t="s">
        <v>1218</v>
      </c>
      <c r="C53" s="12" t="s">
        <v>1179</v>
      </c>
      <c r="D53" s="12"/>
      <c r="E53" s="12" t="s">
        <v>1264</v>
      </c>
    </row>
    <row r="54" spans="1:5" x14ac:dyDescent="0.25">
      <c r="A54" s="12">
        <v>53</v>
      </c>
      <c r="B54" s="12" t="s">
        <v>1218</v>
      </c>
      <c r="C54" s="12" t="s">
        <v>1281</v>
      </c>
      <c r="D54" s="12"/>
      <c r="E54" s="12" t="s">
        <v>1264</v>
      </c>
    </row>
    <row r="55" spans="1:5" x14ac:dyDescent="0.25">
      <c r="A55" s="12">
        <v>54</v>
      </c>
      <c r="B55" s="12" t="s">
        <v>1218</v>
      </c>
      <c r="C55" s="12" t="s">
        <v>1193</v>
      </c>
      <c r="D55" s="12"/>
      <c r="E55" s="12" t="s">
        <v>1264</v>
      </c>
    </row>
    <row r="56" spans="1:5" x14ac:dyDescent="0.25">
      <c r="A56" s="12">
        <v>55</v>
      </c>
      <c r="B56" s="12" t="s">
        <v>1218</v>
      </c>
      <c r="C56" s="12" t="s">
        <v>1282</v>
      </c>
      <c r="D56" s="12"/>
      <c r="E56" s="12" t="s">
        <v>1264</v>
      </c>
    </row>
    <row r="57" spans="1:5" x14ac:dyDescent="0.25">
      <c r="A57" s="12">
        <v>56</v>
      </c>
      <c r="B57" s="12" t="s">
        <v>1218</v>
      </c>
      <c r="C57" s="12" t="s">
        <v>1283</v>
      </c>
      <c r="D57" s="12"/>
      <c r="E57" s="12" t="s">
        <v>1264</v>
      </c>
    </row>
    <row r="58" spans="1:5" x14ac:dyDescent="0.25">
      <c r="A58" s="12">
        <v>57</v>
      </c>
      <c r="B58" s="12" t="s">
        <v>1218</v>
      </c>
      <c r="C58" s="12" t="s">
        <v>1284</v>
      </c>
      <c r="D58" s="12"/>
      <c r="E58" s="12" t="s">
        <v>1264</v>
      </c>
    </row>
    <row r="59" spans="1:5" x14ac:dyDescent="0.25">
      <c r="A59" s="12">
        <v>58</v>
      </c>
      <c r="B59" s="12" t="s">
        <v>1218</v>
      </c>
      <c r="C59" s="12" t="s">
        <v>1285</v>
      </c>
      <c r="D59" s="12"/>
      <c r="E59" s="12" t="s">
        <v>1264</v>
      </c>
    </row>
    <row r="60" spans="1:5" x14ac:dyDescent="0.25">
      <c r="A60" s="12">
        <v>59</v>
      </c>
      <c r="B60" s="12" t="s">
        <v>1218</v>
      </c>
      <c r="C60" s="12" t="s">
        <v>1286</v>
      </c>
      <c r="D60" s="12"/>
      <c r="E60" s="12" t="s">
        <v>1264</v>
      </c>
    </row>
    <row r="61" spans="1:5" x14ac:dyDescent="0.25">
      <c r="A61" s="12">
        <v>60</v>
      </c>
      <c r="B61" s="12" t="s">
        <v>18</v>
      </c>
      <c r="C61" s="12" t="s">
        <v>1287</v>
      </c>
      <c r="D61" s="12"/>
      <c r="E61" s="12" t="s">
        <v>1264</v>
      </c>
    </row>
    <row r="62" spans="1:5" x14ac:dyDescent="0.25">
      <c r="A62" s="12">
        <v>61</v>
      </c>
      <c r="B62" s="12" t="s">
        <v>18</v>
      </c>
      <c r="C62" s="12" t="s">
        <v>1288</v>
      </c>
      <c r="D62" s="12"/>
      <c r="E62" s="12" t="s">
        <v>1264</v>
      </c>
    </row>
    <row r="63" spans="1:5" x14ac:dyDescent="0.25">
      <c r="A63" s="12">
        <v>62</v>
      </c>
      <c r="B63" s="12" t="s">
        <v>18</v>
      </c>
      <c r="C63" s="12" t="s">
        <v>1205</v>
      </c>
      <c r="D63" s="12"/>
      <c r="E63" s="12" t="s">
        <v>1264</v>
      </c>
    </row>
    <row r="64" spans="1:5" x14ac:dyDescent="0.25">
      <c r="A64" s="12">
        <v>63</v>
      </c>
      <c r="B64" s="12" t="s">
        <v>18</v>
      </c>
      <c r="C64" s="12" t="s">
        <v>1289</v>
      </c>
      <c r="D64" s="12"/>
      <c r="E64" s="12" t="s">
        <v>1264</v>
      </c>
    </row>
    <row r="65" spans="1:5" x14ac:dyDescent="0.25">
      <c r="A65" s="12">
        <v>64</v>
      </c>
      <c r="B65" s="12" t="s">
        <v>1290</v>
      </c>
      <c r="C65" s="12" t="s">
        <v>1291</v>
      </c>
      <c r="D65" s="12"/>
      <c r="E65" s="12" t="s">
        <v>1264</v>
      </c>
    </row>
    <row r="66" spans="1:5" x14ac:dyDescent="0.25">
      <c r="A66" s="12">
        <v>65</v>
      </c>
      <c r="B66" s="12" t="s">
        <v>1290</v>
      </c>
      <c r="C66" s="12" t="s">
        <v>1292</v>
      </c>
      <c r="D66" s="12"/>
      <c r="E66" s="12" t="s">
        <v>1293</v>
      </c>
    </row>
    <row r="67" spans="1:5" x14ac:dyDescent="0.25">
      <c r="A67" s="12">
        <v>66</v>
      </c>
      <c r="B67" s="12" t="s">
        <v>1290</v>
      </c>
      <c r="C67" s="12" t="s">
        <v>1294</v>
      </c>
      <c r="D67" s="12"/>
      <c r="E67" s="12" t="s">
        <v>1293</v>
      </c>
    </row>
    <row r="68" spans="1:5" x14ac:dyDescent="0.25">
      <c r="A68" s="12">
        <v>67</v>
      </c>
      <c r="B68" s="12" t="s">
        <v>1290</v>
      </c>
      <c r="C68" s="12" t="s">
        <v>1295</v>
      </c>
      <c r="D68" s="12"/>
      <c r="E68" s="12" t="s">
        <v>1293</v>
      </c>
    </row>
    <row r="69" spans="1:5" x14ac:dyDescent="0.25">
      <c r="A69" s="12">
        <v>68</v>
      </c>
      <c r="B69" s="12" t="s">
        <v>1290</v>
      </c>
      <c r="C69" s="12" t="s">
        <v>1296</v>
      </c>
      <c r="D69" s="12"/>
      <c r="E69" s="12" t="s">
        <v>1293</v>
      </c>
    </row>
    <row r="70" spans="1:5" x14ac:dyDescent="0.25">
      <c r="A70" s="12">
        <v>69</v>
      </c>
      <c r="B70" s="12" t="s">
        <v>923</v>
      </c>
      <c r="C70" s="12" t="s">
        <v>1297</v>
      </c>
      <c r="D70" s="12"/>
      <c r="E70" s="12" t="s">
        <v>1293</v>
      </c>
    </row>
    <row r="71" spans="1:5" x14ac:dyDescent="0.25">
      <c r="A71" s="12">
        <v>70</v>
      </c>
      <c r="B71" s="12" t="s">
        <v>923</v>
      </c>
      <c r="C71" s="12" t="s">
        <v>1298</v>
      </c>
      <c r="D71" s="12"/>
      <c r="E71" s="12" t="s">
        <v>1293</v>
      </c>
    </row>
    <row r="72" spans="1:5" x14ac:dyDescent="0.25">
      <c r="A72" s="12">
        <v>71</v>
      </c>
      <c r="B72" s="12" t="s">
        <v>923</v>
      </c>
      <c r="C72" s="12" t="s">
        <v>1299</v>
      </c>
      <c r="D72" s="12"/>
      <c r="E72" s="12" t="s">
        <v>1293</v>
      </c>
    </row>
    <row r="73" spans="1:5" x14ac:dyDescent="0.25">
      <c r="A73" s="12">
        <v>72</v>
      </c>
      <c r="B73" s="12" t="s">
        <v>923</v>
      </c>
      <c r="C73" s="12" t="s">
        <v>1300</v>
      </c>
      <c r="D73" s="12"/>
      <c r="E73" s="12" t="s">
        <v>1293</v>
      </c>
    </row>
    <row r="74" spans="1:5" x14ac:dyDescent="0.25">
      <c r="A74" s="12">
        <v>73</v>
      </c>
      <c r="B74" s="12" t="s">
        <v>923</v>
      </c>
      <c r="C74" s="12" t="s">
        <v>1301</v>
      </c>
      <c r="D74" s="12"/>
      <c r="E74" s="12" t="s">
        <v>1293</v>
      </c>
    </row>
    <row r="75" spans="1:5" x14ac:dyDescent="0.25">
      <c r="A75" s="12">
        <v>74</v>
      </c>
      <c r="B75" s="12" t="s">
        <v>923</v>
      </c>
      <c r="C75" s="12" t="s">
        <v>1302</v>
      </c>
      <c r="D75" s="12"/>
      <c r="E75" s="12" t="s">
        <v>1293</v>
      </c>
    </row>
    <row r="76" spans="1:5" x14ac:dyDescent="0.25">
      <c r="A76" s="12">
        <v>75</v>
      </c>
      <c r="B76" s="12" t="s">
        <v>923</v>
      </c>
      <c r="C76" s="12" t="s">
        <v>1303</v>
      </c>
      <c r="D76" s="12"/>
      <c r="E76" s="12" t="s">
        <v>1293</v>
      </c>
    </row>
    <row r="77" spans="1:5" x14ac:dyDescent="0.25">
      <c r="A77" s="12">
        <v>76</v>
      </c>
      <c r="B77" s="12" t="s">
        <v>1304</v>
      </c>
      <c r="C77" s="12" t="s">
        <v>1305</v>
      </c>
      <c r="D77" s="12"/>
      <c r="E77" s="12" t="s">
        <v>1293</v>
      </c>
    </row>
    <row r="78" spans="1:5" x14ac:dyDescent="0.25">
      <c r="A78" s="12">
        <v>77</v>
      </c>
      <c r="B78" s="12" t="s">
        <v>1304</v>
      </c>
      <c r="C78" s="12" t="s">
        <v>1306</v>
      </c>
      <c r="D78" s="12"/>
      <c r="E78" s="12" t="s">
        <v>1293</v>
      </c>
    </row>
    <row r="79" spans="1:5" x14ac:dyDescent="0.25">
      <c r="A79" s="12">
        <v>78</v>
      </c>
      <c r="B79" s="12" t="s">
        <v>1304</v>
      </c>
      <c r="C79" s="12" t="s">
        <v>1307</v>
      </c>
      <c r="D79" s="12"/>
      <c r="E79" s="12" t="s">
        <v>1293</v>
      </c>
    </row>
    <row r="80" spans="1:5" x14ac:dyDescent="0.25">
      <c r="A80" s="12">
        <v>79</v>
      </c>
      <c r="B80" s="12" t="s">
        <v>1304</v>
      </c>
      <c r="C80" s="12" t="s">
        <v>1308</v>
      </c>
      <c r="D80" s="12"/>
      <c r="E80" s="12" t="s">
        <v>1293</v>
      </c>
    </row>
    <row r="81" spans="1:5" x14ac:dyDescent="0.25">
      <c r="A81" s="12">
        <v>80</v>
      </c>
      <c r="B81" s="12" t="s">
        <v>1304</v>
      </c>
      <c r="C81" s="12" t="s">
        <v>1309</v>
      </c>
      <c r="D81" s="12"/>
      <c r="E81" s="12" t="s">
        <v>1293</v>
      </c>
    </row>
    <row r="82" spans="1:5" x14ac:dyDescent="0.25">
      <c r="A82" s="12">
        <v>81</v>
      </c>
      <c r="B82" s="12" t="s">
        <v>1304</v>
      </c>
      <c r="C82" s="12" t="s">
        <v>1310</v>
      </c>
      <c r="D82" s="12"/>
      <c r="E82" s="12" t="s">
        <v>1293</v>
      </c>
    </row>
    <row r="83" spans="1:5" x14ac:dyDescent="0.25">
      <c r="A83" s="12">
        <v>82</v>
      </c>
      <c r="B83" s="12" t="s">
        <v>1304</v>
      </c>
      <c r="C83" s="12" t="s">
        <v>1311</v>
      </c>
      <c r="D83" s="12"/>
      <c r="E83" s="12" t="s">
        <v>1293</v>
      </c>
    </row>
    <row r="84" spans="1:5" x14ac:dyDescent="0.25">
      <c r="A84" s="12">
        <v>83</v>
      </c>
      <c r="B84" s="12" t="s">
        <v>1312</v>
      </c>
      <c r="C84" s="12" t="s">
        <v>1313</v>
      </c>
      <c r="D84" s="12"/>
      <c r="E84" s="12" t="s">
        <v>1293</v>
      </c>
    </row>
  </sheetData>
  <autoFilter ref="A1:E84"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38"/>
  <sheetViews>
    <sheetView showGridLines="0" workbookViewId="0">
      <pane ySplit="1" topLeftCell="A2" activePane="bottomLeft" state="frozen"/>
      <selection pane="bottomLeft"/>
    </sheetView>
  </sheetViews>
  <sheetFormatPr defaultRowHeight="15" x14ac:dyDescent="0.25"/>
  <cols>
    <col min="1" max="1" width="20" customWidth="1"/>
    <col min="2" max="2" width="80" customWidth="1"/>
    <col min="3" max="3" width="34" customWidth="1"/>
    <col min="4" max="4" width="38" customWidth="1"/>
  </cols>
  <sheetData>
    <row r="1" spans="1:4" x14ac:dyDescent="0.25">
      <c r="A1" s="11" t="s">
        <v>840</v>
      </c>
      <c r="B1" s="11" t="s">
        <v>803</v>
      </c>
      <c r="C1" s="11" t="s">
        <v>1314</v>
      </c>
      <c r="D1" s="11" t="s">
        <v>1315</v>
      </c>
    </row>
    <row r="2" spans="1:4" x14ac:dyDescent="0.25">
      <c r="A2" s="12" t="s">
        <v>846</v>
      </c>
      <c r="B2" s="12">
        <f>SUM(K2:K501)</f>
        <v>0</v>
      </c>
      <c r="C2" s="12" t="s">
        <v>1316</v>
      </c>
      <c r="D2" s="12" t="s">
        <v>1317</v>
      </c>
    </row>
    <row r="3" spans="1:4" ht="30" x14ac:dyDescent="0.25">
      <c r="A3" s="12" t="s">
        <v>848</v>
      </c>
      <c r="B3" s="12" t="e">
        <f>AVERAGE(K2:K501)</f>
        <v>#DIV/0!</v>
      </c>
      <c r="C3" s="12" t="s">
        <v>1318</v>
      </c>
      <c r="D3" s="12" t="s">
        <v>1319</v>
      </c>
    </row>
    <row r="4" spans="1:4" x14ac:dyDescent="0.25">
      <c r="A4" s="12" t="s">
        <v>1320</v>
      </c>
      <c r="B4" s="12">
        <f>COUNT(H2:H501)</f>
        <v>0</v>
      </c>
      <c r="C4" s="12" t="s">
        <v>1321</v>
      </c>
      <c r="D4" s="12" t="s">
        <v>40</v>
      </c>
    </row>
    <row r="5" spans="1:4" x14ac:dyDescent="0.25">
      <c r="A5" s="12" t="s">
        <v>1322</v>
      </c>
      <c r="B5" s="12">
        <f>COUNTA(A2:A501)</f>
        <v>37</v>
      </c>
      <c r="C5" s="12" t="s">
        <v>1323</v>
      </c>
      <c r="D5" s="12" t="s">
        <v>810</v>
      </c>
    </row>
    <row r="6" spans="1:4" x14ac:dyDescent="0.25">
      <c r="A6" s="12" t="s">
        <v>858</v>
      </c>
      <c r="B6" s="12" t="str">
        <f>IF(M2&gt;0,"Profitable","Loss")</f>
        <v>Loss</v>
      </c>
      <c r="C6" s="12" t="s">
        <v>1324</v>
      </c>
      <c r="D6" s="12" t="s">
        <v>1325</v>
      </c>
    </row>
    <row r="7" spans="1:4" x14ac:dyDescent="0.25">
      <c r="A7" s="12" t="s">
        <v>860</v>
      </c>
      <c r="B7" s="12" t="str">
        <f>IF(AND(H2&gt;10,J2&gt;=10%),"Flag","OK")</f>
        <v>OK</v>
      </c>
      <c r="C7" s="12" t="s">
        <v>1326</v>
      </c>
      <c r="D7" s="12" t="s">
        <v>1327</v>
      </c>
    </row>
    <row r="8" spans="1:4" x14ac:dyDescent="0.25">
      <c r="A8" s="12" t="s">
        <v>864</v>
      </c>
      <c r="B8" s="12" t="str">
        <f>IF(OR(C2="West",C2="South"),"Flag","OK")</f>
        <v>OK</v>
      </c>
      <c r="C8" s="12" t="s">
        <v>1328</v>
      </c>
      <c r="D8" s="12" t="s">
        <v>1329</v>
      </c>
    </row>
    <row r="9" spans="1:4" x14ac:dyDescent="0.25">
      <c r="A9" s="12" t="s">
        <v>868</v>
      </c>
      <c r="B9" s="12">
        <f>SUMIF(C:C,"West",K:K)</f>
        <v>0</v>
      </c>
      <c r="C9" s="12" t="s">
        <v>1330</v>
      </c>
      <c r="D9" s="12" t="s">
        <v>1331</v>
      </c>
    </row>
    <row r="10" spans="1:4" x14ac:dyDescent="0.25">
      <c r="A10" s="12" t="s">
        <v>871</v>
      </c>
      <c r="B10" s="12">
        <f ca="1">SUMIFS(K:K,C:C,"West",F:F,"Electronics")</f>
        <v>0</v>
      </c>
      <c r="C10" s="12" t="s">
        <v>1326</v>
      </c>
      <c r="D10" s="12" t="s">
        <v>1332</v>
      </c>
    </row>
    <row r="11" spans="1:4" x14ac:dyDescent="0.25">
      <c r="A11" s="12" t="s">
        <v>876</v>
      </c>
      <c r="B11" s="12">
        <f>COUNTIF(J:J,"&gt;=10%")</f>
        <v>0</v>
      </c>
      <c r="C11" s="12" t="s">
        <v>1333</v>
      </c>
      <c r="D11" s="12" t="s">
        <v>1334</v>
      </c>
    </row>
    <row r="12" spans="1:4" x14ac:dyDescent="0.25">
      <c r="A12" s="12" t="s">
        <v>878</v>
      </c>
      <c r="B12" s="12">
        <f>COUNTIFS(C:C,"South",N:N,"Corporate")</f>
        <v>0</v>
      </c>
      <c r="C12" s="12" t="s">
        <v>1335</v>
      </c>
      <c r="D12" s="12" t="s">
        <v>1336</v>
      </c>
    </row>
    <row r="13" spans="1:4" x14ac:dyDescent="0.25">
      <c r="A13" s="12" t="s">
        <v>881</v>
      </c>
      <c r="B13" s="12" t="e">
        <f>AVERAGEIF(F:F,"Electronics",M:M)</f>
        <v>#DIV/0!</v>
      </c>
      <c r="C13" s="12" t="s">
        <v>1337</v>
      </c>
      <c r="D13" s="12" t="s">
        <v>1338</v>
      </c>
    </row>
    <row r="14" spans="1:4" x14ac:dyDescent="0.25">
      <c r="A14" s="12" t="s">
        <v>884</v>
      </c>
      <c r="B14" s="12" t="e">
        <f ca="1">AVERAGEIFS(K:K,C:C,"West",N:N,"Retail")</f>
        <v>#DIV/0!</v>
      </c>
      <c r="C14" s="12" t="s">
        <v>1339</v>
      </c>
      <c r="D14" s="12" t="s">
        <v>1340</v>
      </c>
    </row>
    <row r="15" spans="1:4" x14ac:dyDescent="0.25">
      <c r="A15" s="12" t="s">
        <v>924</v>
      </c>
      <c r="B15" s="12" t="e">
        <f ca="1">_xludf.XLOOKUP(G2,Lookup_Master!A:A,Lookup_Master!B:B,"Not Found")</f>
        <v>#NAME?</v>
      </c>
      <c r="C15" s="12" t="s">
        <v>1341</v>
      </c>
      <c r="D15" s="12" t="s">
        <v>1342</v>
      </c>
    </row>
    <row r="16" spans="1:4" x14ac:dyDescent="0.25">
      <c r="A16" s="12" t="s">
        <v>927</v>
      </c>
      <c r="B16" s="12" t="e">
        <f>VLOOKUP(G2,Lookup_Master!A:E,3,FALSE)</f>
        <v>#N/A</v>
      </c>
      <c r="C16" s="12" t="s">
        <v>1343</v>
      </c>
      <c r="D16" s="12" t="s">
        <v>1344</v>
      </c>
    </row>
    <row r="17" spans="1:4" x14ac:dyDescent="0.25">
      <c r="A17" s="12" t="s">
        <v>994</v>
      </c>
      <c r="B17" s="12" t="e">
        <f>INDEX(Lookup_Master!D:D,MATCH(G2,Lookup_Master!A:A,0))</f>
        <v>#N/A</v>
      </c>
      <c r="C17" s="12" t="s">
        <v>1345</v>
      </c>
      <c r="D17" s="12" t="s">
        <v>1346</v>
      </c>
    </row>
    <row r="18" spans="1:4" x14ac:dyDescent="0.25">
      <c r="A18" s="12" t="s">
        <v>887</v>
      </c>
      <c r="B18" s="12">
        <f ca="1">IFERROR(_xludf.XLOOKUP(G2,Lookup_Master!A:A,Lookup_Master!C:C),0)</f>
        <v>0</v>
      </c>
      <c r="C18" s="12" t="s">
        <v>1347</v>
      </c>
      <c r="D18" s="12" t="s">
        <v>1348</v>
      </c>
    </row>
    <row r="19" spans="1:4" x14ac:dyDescent="0.25">
      <c r="A19" s="12" t="s">
        <v>912</v>
      </c>
      <c r="B19" s="12">
        <f>YEAR(B2)</f>
        <v>1900</v>
      </c>
      <c r="C19" s="12" t="s">
        <v>1349</v>
      </c>
      <c r="D19" s="12" t="s">
        <v>1028</v>
      </c>
    </row>
    <row r="20" spans="1:4" x14ac:dyDescent="0.25">
      <c r="A20" s="12" t="s">
        <v>914</v>
      </c>
      <c r="B20" s="12">
        <f>MONTH(B2)</f>
        <v>1</v>
      </c>
      <c r="C20" s="12" t="s">
        <v>1350</v>
      </c>
      <c r="D20" s="12" t="s">
        <v>1026</v>
      </c>
    </row>
    <row r="21" spans="1:4" x14ac:dyDescent="0.25">
      <c r="A21" s="12" t="s">
        <v>916</v>
      </c>
      <c r="B21" s="12" t="str">
        <f>TEXT(B2,"mmmm")</f>
        <v>January</v>
      </c>
      <c r="C21" s="12" t="s">
        <v>1029</v>
      </c>
      <c r="D21" s="12" t="s">
        <v>1030</v>
      </c>
    </row>
    <row r="22" spans="1:4" x14ac:dyDescent="0.25">
      <c r="A22" s="12" t="s">
        <v>1033</v>
      </c>
      <c r="B22" s="12" t="str">
        <f>"Q"&amp;ROUNDUP(MONTH(B2)/3,0)</f>
        <v>Q1</v>
      </c>
      <c r="C22" s="12" t="s">
        <v>1033</v>
      </c>
      <c r="D22" s="12" t="s">
        <v>1351</v>
      </c>
    </row>
    <row r="23" spans="1:4" x14ac:dyDescent="0.25">
      <c r="A23" s="12" t="s">
        <v>1262</v>
      </c>
      <c r="B23" s="12" t="str">
        <f>"FY "&amp;IF(MONTH(B2)&gt;=4,YEAR(B2)&amp;"-"&amp;RIGHT(YEAR(B2)+1,2),(YEAR(B2)-1)&amp;"-"&amp;RIGHT(YEAR(B2),2))</f>
        <v>FY 1899-00</v>
      </c>
      <c r="C23" s="12" t="s">
        <v>1352</v>
      </c>
      <c r="D23" s="12" t="s">
        <v>1036</v>
      </c>
    </row>
    <row r="24" spans="1:4" x14ac:dyDescent="0.25">
      <c r="A24" s="12" t="s">
        <v>922</v>
      </c>
      <c r="B24" s="12">
        <f ca="1">TODAY()-B2</f>
        <v>46277</v>
      </c>
      <c r="C24" s="12" t="s">
        <v>1041</v>
      </c>
      <c r="D24" s="12" t="s">
        <v>951</v>
      </c>
    </row>
    <row r="25" spans="1:4" x14ac:dyDescent="0.25">
      <c r="A25" s="12" t="s">
        <v>895</v>
      </c>
      <c r="B25" s="12" t="str">
        <f>LEFT(A2,3)</f>
        <v>SUM</v>
      </c>
      <c r="C25" s="12" t="s">
        <v>1353</v>
      </c>
      <c r="D25" s="12" t="s">
        <v>1354</v>
      </c>
    </row>
    <row r="26" spans="1:4" x14ac:dyDescent="0.25">
      <c r="A26" s="12" t="s">
        <v>897</v>
      </c>
      <c r="B26" s="12" t="str">
        <f>RIGHT(A2,2)</f>
        <v>UM</v>
      </c>
      <c r="C26" s="12" t="s">
        <v>1355</v>
      </c>
      <c r="D26" s="12" t="s">
        <v>1356</v>
      </c>
    </row>
    <row r="27" spans="1:4" x14ac:dyDescent="0.25">
      <c r="A27" s="12" t="s">
        <v>899</v>
      </c>
      <c r="B27" s="12" t="str">
        <f>MID(A2,4,3)</f>
        <v/>
      </c>
      <c r="C27" s="12" t="s">
        <v>1357</v>
      </c>
      <c r="D27" s="12" t="s">
        <v>1358</v>
      </c>
    </row>
    <row r="28" spans="1:4" x14ac:dyDescent="0.25">
      <c r="A28" s="12" t="s">
        <v>904</v>
      </c>
      <c r="B28" s="12" t="str">
        <f>TRIM(A2)</f>
        <v>SUM</v>
      </c>
      <c r="C28" s="12" t="s">
        <v>1359</v>
      </c>
      <c r="D28" s="12" t="s">
        <v>1360</v>
      </c>
    </row>
    <row r="29" spans="1:4" x14ac:dyDescent="0.25">
      <c r="A29" s="12" t="s">
        <v>906</v>
      </c>
      <c r="B29" s="12" t="str">
        <f>LOWER(D2)</f>
        <v>total revenue</v>
      </c>
      <c r="C29" s="12" t="s">
        <v>1057</v>
      </c>
      <c r="D29" s="12" t="s">
        <v>1361</v>
      </c>
    </row>
    <row r="30" spans="1:4" x14ac:dyDescent="0.25">
      <c r="A30" s="12" t="s">
        <v>1362</v>
      </c>
      <c r="B30" s="12" t="str">
        <f>UPPER(E2)</f>
        <v/>
      </c>
      <c r="C30" s="12" t="s">
        <v>1055</v>
      </c>
      <c r="D30" s="12" t="s">
        <v>1363</v>
      </c>
    </row>
    <row r="31" spans="1:4" x14ac:dyDescent="0.25">
      <c r="A31" s="12" t="s">
        <v>1364</v>
      </c>
      <c r="B31" s="12" t="str">
        <f>PROPER(A2)</f>
        <v>Sum</v>
      </c>
      <c r="C31" s="12" t="s">
        <v>1059</v>
      </c>
      <c r="D31" s="12" t="s">
        <v>1363</v>
      </c>
    </row>
    <row r="32" spans="1:4" x14ac:dyDescent="0.25">
      <c r="A32" s="12" t="s">
        <v>1365</v>
      </c>
      <c r="B32" s="12" t="str">
        <f>E2&amp;" - "&amp;C2</f>
        <v xml:space="preserve"> - Adds revenue</v>
      </c>
      <c r="C32" s="12" t="s">
        <v>1366</v>
      </c>
      <c r="D32" s="12" t="s">
        <v>1367</v>
      </c>
    </row>
    <row r="33" spans="1:4" x14ac:dyDescent="0.25">
      <c r="A33" s="12" t="s">
        <v>932</v>
      </c>
      <c r="B33" s="12">
        <f>SUMPRODUCT(H2:H501,I2:I501*(1-J2:J501))</f>
        <v>0</v>
      </c>
      <c r="C33" s="12" t="s">
        <v>1368</v>
      </c>
      <c r="D33" s="12" t="s">
        <v>1369</v>
      </c>
    </row>
    <row r="34" spans="1:4" x14ac:dyDescent="0.25">
      <c r="A34" s="12" t="s">
        <v>935</v>
      </c>
      <c r="B34" s="12">
        <f>SUBTOTAL(9,K2:K501)</f>
        <v>0</v>
      </c>
      <c r="C34" s="12" t="s">
        <v>1370</v>
      </c>
      <c r="D34" s="12" t="s">
        <v>1371</v>
      </c>
    </row>
    <row r="35" spans="1:4" x14ac:dyDescent="0.25">
      <c r="A35" s="12" t="s">
        <v>937</v>
      </c>
      <c r="B35" s="12" t="e">
        <f ca="1">_xludf.UNIQUE(E2:E501)</f>
        <v>#NAME?</v>
      </c>
      <c r="C35" s="12" t="s">
        <v>1372</v>
      </c>
      <c r="D35" s="12" t="s">
        <v>1373</v>
      </c>
    </row>
    <row r="36" spans="1:4" x14ac:dyDescent="0.25">
      <c r="A36" s="12" t="s">
        <v>939</v>
      </c>
      <c r="B36" s="12"/>
      <c r="C36" s="12" t="s">
        <v>1374</v>
      </c>
      <c r="D36" s="12" t="s">
        <v>1375</v>
      </c>
    </row>
    <row r="37" spans="1:4" x14ac:dyDescent="0.25">
      <c r="A37" s="12" t="s">
        <v>942</v>
      </c>
      <c r="B37" s="12" t="e">
        <f ca="1">_xludf.SORTBY(Lookup_Master!A2:E17,Lookup_Master!C2:C17,-1)</f>
        <v>#NAME?</v>
      </c>
      <c r="C37" s="12" t="s">
        <v>1376</v>
      </c>
      <c r="D37" s="12" t="s">
        <v>1377</v>
      </c>
    </row>
    <row r="38" spans="1:4" x14ac:dyDescent="0.25">
      <c r="A38" s="12" t="s">
        <v>948</v>
      </c>
      <c r="B38" s="12" t="e">
        <f>K2/SUM($K$2:$K$501)</f>
        <v>#DIV/0!</v>
      </c>
      <c r="C38" s="12" t="s">
        <v>1378</v>
      </c>
      <c r="D38" s="12" t="s">
        <v>1379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Raw_Sales_Data</vt:lpstr>
      <vt:lpstr>Detailed_Formula_Practice</vt:lpstr>
      <vt:lpstr>Employee_Data</vt:lpstr>
      <vt:lpstr>Lookup_Master</vt:lpstr>
      <vt:lpstr>Data_Cleaning</vt:lpstr>
      <vt:lpstr>Dashboard_Data</vt:lpstr>
      <vt:lpstr>Dashboard</vt:lpstr>
      <vt:lpstr>What_If</vt:lpstr>
      <vt:lpstr>Lookup_Lab</vt:lpstr>
      <vt:lpstr>Date_Text_Lab</vt:lpstr>
      <vt:lpstr>Conditional_Format_Lab</vt:lpstr>
      <vt:lpstr>Data_Cleaning_Lab</vt:lpstr>
      <vt:lpstr>Pivot_Masterclass</vt:lpstr>
      <vt:lpstr>Dashboard_Project</vt:lpstr>
      <vt:lpstr>Job_Interview_100</vt:lpstr>
      <vt:lpstr>Formula_Bank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Advanced Excel Detailed Job-Oriented Practice Workbook</dc:title>
  <dc:subject>Advanced Excel practice: formulas, lookups, dates, text, cleaning, PivotTables, dashboards, What-If and interviews</dc:subject>
  <dc:creator>openpyxl</dc:creator>
  <cp:lastModifiedBy>Lokesh Ahire</cp:lastModifiedBy>
  <dcterms:created xsi:type="dcterms:W3CDTF">2026-09-11T12:29:52Z</dcterms:created>
  <dcterms:modified xsi:type="dcterms:W3CDTF">2026-09-12T04:01:24Z</dcterms:modified>
</cp:coreProperties>
</file>