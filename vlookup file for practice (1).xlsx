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ucky\Downloads\"/>
    </mc:Choice>
  </mc:AlternateContent>
  <xr:revisionPtr revIDLastSave="0" documentId="13_ncr:1_{3A7E505F-F9A9-43E1-84B5-1E03B0BE765E}" xr6:coauthVersionLast="36" xr6:coauthVersionMax="36" xr10:uidLastSave="{00000000-0000-0000-0000-000000000000}"/>
  <bookViews>
    <workbookView xWindow="0" yWindow="0" windowWidth="24720" windowHeight="13500" activeTab="2" xr2:uid="{00000000-000D-0000-FFFF-FFFF00000000}"/>
  </bookViews>
  <sheets>
    <sheet name="V_LOOKUP" sheetId="1" r:id="rId1"/>
    <sheet name="Sheet1" sheetId="2" r:id="rId2"/>
    <sheet name="V_LOOKUP 2" sheetId="3" r:id="rId3"/>
    <sheet name="V_LOOKUP 3" sheetId="4" r:id="rId4"/>
    <sheet name="V_LOOKUP 4" sheetId="5" r:id="rId5"/>
    <sheet name="V_LOOKUP 5" sheetId="6" r:id="rId6"/>
    <sheet name="V_LOOKUP 6" sheetId="7" r:id="rId7"/>
    <sheet name="MISSING_GST_NO" sheetId="8" r:id="rId8"/>
    <sheet name="V_LOOKUP 7" sheetId="9" r:id="rId9"/>
  </sheets>
  <definedNames>
    <definedName name="_xlnm._FilterDatabase" localSheetId="6" hidden="1">'V_LOOKUP 6'!$A$1:$C$28</definedName>
  </definedNames>
  <calcPr calcId="191029"/>
</workbook>
</file>

<file path=xl/calcChain.xml><?xml version="1.0" encoding="utf-8"?>
<calcChain xmlns="http://schemas.openxmlformats.org/spreadsheetml/2006/main">
  <c r="B27" i="1" l="1"/>
  <c r="B28" i="1" s="1"/>
  <c r="B29" i="1" s="1"/>
  <c r="C27" i="1"/>
  <c r="D27" i="1"/>
  <c r="E27" i="1"/>
  <c r="B26" i="1"/>
  <c r="B25" i="1"/>
  <c r="C25" i="1"/>
  <c r="D25" i="1"/>
  <c r="E25" i="1"/>
  <c r="B24" i="1"/>
  <c r="C24" i="1"/>
  <c r="D24" i="1"/>
  <c r="E24" i="1"/>
  <c r="C22" i="1"/>
  <c r="D22" i="1"/>
  <c r="E22" i="1"/>
  <c r="C23" i="1"/>
  <c r="D23" i="1"/>
  <c r="E23" i="1"/>
  <c r="B22" i="1"/>
  <c r="B23" i="1"/>
  <c r="I8" i="1"/>
  <c r="F2" i="9"/>
  <c r="F1" i="9"/>
  <c r="C5" i="7"/>
  <c r="J10" i="6"/>
  <c r="E10" i="6"/>
  <c r="J9" i="6"/>
  <c r="E9" i="6"/>
  <c r="J8" i="6"/>
  <c r="E8" i="6"/>
  <c r="J7" i="6"/>
  <c r="E7" i="6"/>
  <c r="J6" i="6"/>
  <c r="E6" i="6"/>
  <c r="J5" i="6"/>
  <c r="E5" i="6"/>
  <c r="J4" i="6"/>
  <c r="E4" i="6"/>
  <c r="J3" i="6"/>
  <c r="K9" i="6" s="1"/>
  <c r="E3" i="6"/>
  <c r="J2" i="6"/>
  <c r="K10" i="6" s="1"/>
  <c r="E2" i="6"/>
  <c r="F8" i="6" s="1"/>
  <c r="G20" i="5"/>
  <c r="G19" i="5"/>
  <c r="G11" i="5"/>
  <c r="G10" i="5"/>
  <c r="G2" i="5"/>
  <c r="D48" i="4"/>
  <c r="E48" i="4" s="1"/>
  <c r="F48" i="4" s="1"/>
  <c r="I47" i="4"/>
  <c r="D47" i="4"/>
  <c r="E47" i="4" s="1"/>
  <c r="F47" i="4" s="1"/>
  <c r="I46" i="4"/>
  <c r="D46" i="4"/>
  <c r="E46" i="4" s="1"/>
  <c r="F46" i="4" s="1"/>
  <c r="I45" i="4"/>
  <c r="D45" i="4"/>
  <c r="E45" i="4" s="1"/>
  <c r="F45" i="4" s="1"/>
  <c r="I44" i="4"/>
  <c r="D44" i="4"/>
  <c r="E44" i="4" s="1"/>
  <c r="F44" i="4" s="1"/>
  <c r="C37" i="4"/>
  <c r="D37" i="4" s="1"/>
  <c r="E37" i="4" s="1"/>
  <c r="C36" i="4"/>
  <c r="D36" i="4" s="1"/>
  <c r="E36" i="4" s="1"/>
  <c r="C35" i="4"/>
  <c r="D35" i="4" s="1"/>
  <c r="E35" i="4" s="1"/>
  <c r="C34" i="4"/>
  <c r="D34" i="4" s="1"/>
  <c r="E34" i="4" s="1"/>
  <c r="C33" i="4"/>
  <c r="D33" i="4" s="1"/>
  <c r="E33" i="4" s="1"/>
  <c r="C28" i="4"/>
  <c r="D28" i="4" s="1"/>
  <c r="E28" i="4" s="1"/>
  <c r="H27" i="4"/>
  <c r="C27" i="4"/>
  <c r="D27" i="4" s="1"/>
  <c r="E27" i="4" s="1"/>
  <c r="H26" i="4"/>
  <c r="C26" i="4"/>
  <c r="D26" i="4" s="1"/>
  <c r="E26" i="4" s="1"/>
  <c r="H25" i="4"/>
  <c r="C25" i="4"/>
  <c r="D25" i="4" s="1"/>
  <c r="E25" i="4" s="1"/>
  <c r="H24" i="4"/>
  <c r="C24" i="4"/>
  <c r="D24" i="4" s="1"/>
  <c r="E24" i="4" s="1"/>
  <c r="D18" i="4"/>
  <c r="E18" i="4" s="1"/>
  <c r="C18" i="4"/>
  <c r="C17" i="4"/>
  <c r="D17" i="4" s="1"/>
  <c r="E17" i="4" s="1"/>
  <c r="C16" i="4"/>
  <c r="D16" i="4" s="1"/>
  <c r="H15" i="4"/>
  <c r="D15" i="4"/>
  <c r="E15" i="4" s="1"/>
  <c r="C15" i="4"/>
  <c r="H14" i="4"/>
  <c r="C14" i="4"/>
  <c r="D14" i="4" s="1"/>
  <c r="E14" i="4" s="1"/>
  <c r="C9" i="4"/>
  <c r="D9" i="4" s="1"/>
  <c r="E9" i="4" s="1"/>
  <c r="C8" i="4"/>
  <c r="D8" i="4" s="1"/>
  <c r="E8" i="4" s="1"/>
  <c r="D7" i="4"/>
  <c r="E7" i="4" s="1"/>
  <c r="C7" i="4"/>
  <c r="H6" i="4"/>
  <c r="C6" i="4"/>
  <c r="D6" i="4" s="1"/>
  <c r="H5" i="4"/>
  <c r="C5" i="4"/>
  <c r="D5" i="4" s="1"/>
  <c r="E5" i="4" s="1"/>
  <c r="B8" i="2"/>
  <c r="B12" i="2" s="1"/>
  <c r="G8" i="6" l="1"/>
  <c r="H8" i="6"/>
  <c r="M10" i="6"/>
  <c r="L10" i="6"/>
  <c r="L9" i="6"/>
  <c r="M9" i="6"/>
  <c r="H16" i="4"/>
  <c r="E16" i="4"/>
  <c r="H17" i="4" s="1"/>
  <c r="E6" i="4"/>
  <c r="H8" i="4" s="1"/>
  <c r="H7" i="4"/>
  <c r="K2" i="6"/>
  <c r="F4" i="6"/>
  <c r="K5" i="6"/>
  <c r="F7" i="6"/>
  <c r="K8" i="6"/>
  <c r="F10" i="6"/>
  <c r="B9" i="2"/>
  <c r="F3" i="6"/>
  <c r="K4" i="6"/>
  <c r="F6" i="6"/>
  <c r="K7" i="6"/>
  <c r="F9" i="6"/>
  <c r="B10" i="2"/>
  <c r="B11" i="2"/>
  <c r="F2" i="6"/>
  <c r="K3" i="6"/>
  <c r="F5" i="6"/>
  <c r="K6" i="6"/>
  <c r="H4" i="6" l="1"/>
  <c r="G4" i="6"/>
  <c r="H3" i="6"/>
  <c r="G3" i="6"/>
  <c r="M2" i="6"/>
  <c r="L2" i="6"/>
  <c r="H9" i="6"/>
  <c r="G9" i="6"/>
  <c r="M7" i="6"/>
  <c r="L7" i="6"/>
  <c r="H6" i="6"/>
  <c r="G6" i="6"/>
  <c r="M4" i="6"/>
  <c r="L4" i="6"/>
  <c r="L6" i="6"/>
  <c r="M6" i="6"/>
  <c r="H10" i="6"/>
  <c r="G10" i="6"/>
  <c r="G5" i="6"/>
  <c r="H5" i="6"/>
  <c r="M8" i="6"/>
  <c r="L8" i="6"/>
  <c r="L3" i="6"/>
  <c r="M3" i="6"/>
  <c r="H7" i="6"/>
  <c r="G7" i="6"/>
  <c r="G2" i="6"/>
  <c r="H2" i="6"/>
  <c r="M5" i="6"/>
  <c r="L5" i="6"/>
</calcChain>
</file>

<file path=xl/sharedStrings.xml><?xml version="1.0" encoding="utf-8"?>
<sst xmlns="http://schemas.openxmlformats.org/spreadsheetml/2006/main" count="462" uniqueCount="160">
  <si>
    <t>Account No</t>
  </si>
  <si>
    <t xml:space="preserve">Amount 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</si>
  <si>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</si>
  <si>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</si>
  <si>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</si>
  <si>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</si>
  <si>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</si>
  <si>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</si>
  <si>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</si>
  <si>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</si>
  <si>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</si>
  <si>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</si>
  <si>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</si>
  <si>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</si>
  <si>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SR NO</t>
  </si>
  <si>
    <t>NAME OF STUDENT</t>
  </si>
  <si>
    <t>MARKS</t>
  </si>
  <si>
    <t>GRADE</t>
  </si>
  <si>
    <t>A</t>
  </si>
  <si>
    <t>FAIL</t>
  </si>
  <si>
    <t>B</t>
  </si>
  <si>
    <t>C</t>
  </si>
  <si>
    <t>D</t>
  </si>
  <si>
    <t>E</t>
  </si>
  <si>
    <t>A+</t>
  </si>
  <si>
    <t>F</t>
  </si>
  <si>
    <t>G</t>
  </si>
  <si>
    <t>H</t>
  </si>
  <si>
    <t>GRADE WITH H LOOKUP</t>
  </si>
  <si>
    <t>STATE</t>
  </si>
  <si>
    <t>CODE</t>
  </si>
  <si>
    <t>MAHARASHTRA</t>
  </si>
  <si>
    <t>PUNJAB</t>
  </si>
  <si>
    <t>GUJARAT</t>
  </si>
  <si>
    <t>GOA</t>
  </si>
  <si>
    <t>USE VLOOKUP</t>
  </si>
  <si>
    <t>PARTNO</t>
  </si>
  <si>
    <t>HARDDISK MFG DATE</t>
  </si>
  <si>
    <t>SOLD ON</t>
  </si>
  <si>
    <t>W.DATE</t>
  </si>
  <si>
    <t>W.STATUS</t>
  </si>
  <si>
    <t>ENTER PART NO</t>
  </si>
  <si>
    <t>ST3320419AS</t>
  </si>
  <si>
    <t>ST3320418AS</t>
  </si>
  <si>
    <t>ST3320420AS</t>
  </si>
  <si>
    <t>ST3320421AS</t>
  </si>
  <si>
    <t>ST3320422AS</t>
  </si>
  <si>
    <t>SERIAL NO</t>
  </si>
  <si>
    <t>ENTER SRNO</t>
  </si>
  <si>
    <t>9BMAFG35</t>
  </si>
  <si>
    <t>9BMAFG33</t>
  </si>
  <si>
    <t>9BMAFG34</t>
  </si>
  <si>
    <t>9BMAFG36</t>
  </si>
  <si>
    <t>9BMAFG37</t>
  </si>
  <si>
    <t>USE VLOOKUP WITH IFERROR FUNCTION</t>
  </si>
  <si>
    <t>faiz</t>
  </si>
  <si>
    <t>USE NESTED VLOOKUP WITH NESTED IFERROR FUNCTION</t>
  </si>
  <si>
    <t>ENTER PART NO/SRNO</t>
  </si>
  <si>
    <t>POLICY NO</t>
  </si>
  <si>
    <t>R.NO</t>
  </si>
  <si>
    <t>ENTER POLICY NO</t>
  </si>
  <si>
    <t>R-100001</t>
  </si>
  <si>
    <t>R-100002</t>
  </si>
  <si>
    <t>R-100003</t>
  </si>
  <si>
    <t>R-100004</t>
  </si>
  <si>
    <t>R-100005</t>
  </si>
  <si>
    <t>NAME</t>
  </si>
  <si>
    <t>POLICY DETAILS</t>
  </si>
  <si>
    <t>r-100001</t>
  </si>
  <si>
    <t>RAJESH</t>
  </si>
  <si>
    <t>JIVAN SARAL</t>
  </si>
  <si>
    <t>VINOD</t>
  </si>
  <si>
    <t>JIVAN ANAND</t>
  </si>
  <si>
    <t>AJAY</t>
  </si>
  <si>
    <t>JIVAN VIMA</t>
  </si>
  <si>
    <t>VIKAS</t>
  </si>
  <si>
    <t>CHILD POLICY</t>
  </si>
  <si>
    <t>ANIL</t>
  </si>
  <si>
    <t>JIVANSATHI</t>
  </si>
  <si>
    <t>WORK</t>
  </si>
  <si>
    <t>STATUS</t>
  </si>
  <si>
    <t>Off Loading</t>
  </si>
  <si>
    <t>Completed</t>
  </si>
  <si>
    <t>Cleaning</t>
  </si>
  <si>
    <t>Load Sheet</t>
  </si>
  <si>
    <t>Incomplete</t>
  </si>
  <si>
    <t>BRS</t>
  </si>
  <si>
    <t>Screen</t>
  </si>
  <si>
    <t>Boarding</t>
  </si>
  <si>
    <t>Catering</t>
  </si>
  <si>
    <t>Loading</t>
  </si>
  <si>
    <t>COMPANY</t>
  </si>
  <si>
    <t>GSTIN NO</t>
  </si>
  <si>
    <t>A.S.K ENTERPRISES (J-CAFE)</t>
  </si>
  <si>
    <t>27ABHFA8773A1ZF</t>
  </si>
  <si>
    <t>AKSHAY CATERERS</t>
  </si>
  <si>
    <t>BOX CAFE ULHASNAGAR</t>
  </si>
  <si>
    <t>CAFE 2.0 (GHATKOPAR)</t>
  </si>
  <si>
    <t>Godrej</t>
  </si>
  <si>
    <t>27ADFDF45451Z7</t>
  </si>
  <si>
    <t>HIND MATA RESTURANT (MUMBAI CENTER)</t>
  </si>
  <si>
    <t>Indian Oil</t>
  </si>
  <si>
    <t>27ADFDF98451Z5</t>
  </si>
  <si>
    <t>J CAFE (FINE FOODS)</t>
  </si>
  <si>
    <t>27BZAPM3230Q1Z4</t>
  </si>
  <si>
    <t>J CAFE (NAAYSA VIKRAM JUMANI)</t>
  </si>
  <si>
    <t>27AADPJ5873B1ZU</t>
  </si>
  <si>
    <t>J CAFE FOOD CIRCUIT</t>
  </si>
  <si>
    <t>27AAFFF4656C1ZK</t>
  </si>
  <si>
    <t xml:space="preserve">JAANVI FOODS </t>
  </si>
  <si>
    <t>27AKRPD7739G1ZQ</t>
  </si>
  <si>
    <t>MAHALAXMI DAIRY</t>
  </si>
  <si>
    <t>MERCURY SALES</t>
  </si>
  <si>
    <t>27AAAPC9387L1ZA</t>
  </si>
  <si>
    <t>MILK CENTER</t>
  </si>
  <si>
    <t>Nokia</t>
  </si>
  <si>
    <t>PATEL IEC CREAM (GRANT ROAD )</t>
  </si>
  <si>
    <t>Philips</t>
  </si>
  <si>
    <t>27ADFDF49451Z8</t>
  </si>
  <si>
    <t>RANI BAUG</t>
  </si>
  <si>
    <t>Reliance</t>
  </si>
  <si>
    <t>27ADFDF45451Z5</t>
  </si>
  <si>
    <t>Sanghani Pvt.Ltd</t>
  </si>
  <si>
    <t>SHREE BALAJI MKT.</t>
  </si>
  <si>
    <t>SHREE BHAVANI CATTERERS</t>
  </si>
  <si>
    <t>SHREE ENTERPRISES</t>
  </si>
  <si>
    <t>STARCHIE NMF ENTERPRISES(PANVEL)</t>
  </si>
  <si>
    <t>SUNFROZEN FOODS</t>
  </si>
  <si>
    <t>THE J (CHARCHGATE)</t>
  </si>
  <si>
    <t>27AEOPV3545H1ZY</t>
  </si>
  <si>
    <t>ZEN ENTERPRIESE</t>
  </si>
  <si>
    <t>27A1YPC3645H1ZX</t>
  </si>
  <si>
    <t>27AAAFS5979E1ZW</t>
  </si>
  <si>
    <t>27AABFZ2856N1ZJ</t>
  </si>
  <si>
    <t>27AAEFE9295M1ZO</t>
  </si>
  <si>
    <t>27AAEPO1265D1ZY</t>
  </si>
  <si>
    <t>27AAHFP8220CJ2G</t>
  </si>
  <si>
    <t>27ABCPJ3059M1ZG</t>
  </si>
  <si>
    <t>27ACKPS7070A1ZJ</t>
  </si>
  <si>
    <t>27ACPPT6394R1Z5</t>
  </si>
  <si>
    <t>27ADFDF45451Z9</t>
  </si>
  <si>
    <t>27ADFDF85851Z6</t>
  </si>
  <si>
    <t>27ADMFS6352E1ZT</t>
  </si>
  <si>
    <t>milk center</t>
  </si>
  <si>
    <t>19ASDCP9685A1Z1</t>
  </si>
  <si>
    <t>27ALIPS8250K1ZH</t>
  </si>
  <si>
    <t>27AYGPJ4191H1Z9</t>
  </si>
  <si>
    <t>27DAAPS6491G1ZB</t>
  </si>
  <si>
    <t>COST</t>
  </si>
  <si>
    <t>PRODUCT</t>
  </si>
  <si>
    <t>Highest Cost</t>
  </si>
  <si>
    <t>Keyboard</t>
  </si>
  <si>
    <t>Lowest Cost</t>
  </si>
  <si>
    <t>Mouse</t>
  </si>
  <si>
    <t>Harddisk</t>
  </si>
  <si>
    <t>Motherboard</t>
  </si>
  <si>
    <t>Ram</t>
  </si>
  <si>
    <t>Processor</t>
  </si>
  <si>
    <t>FIND THE HIGEST COST OF PRODUCT NAME</t>
  </si>
  <si>
    <t>FIND THE LOWEST COST OF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</si>
</sst>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2"/>
      <name val="Calibri"/>
      <scheme val="minor"/>
    </font>
    <font>
      <sz val="12"/>
      <name val="Calibri"/>
    </font>
    <font>
      <sz val="11"/>
      <name val="Calibri"/>
    </font>
    <font>
      <b/>
      <sz val="10"/>
      <name val="Arial"/>
    </font>
    <font>
      <b/>
      <sz val="11"/>
      <name val="Calibri"/>
    </font>
    <font>
      <sz val="11"/>
      <name val="Impact"/>
    </font>
    <font>
      <sz val="11"/>
      <name val="Impact"/>
    </font>
    <font>
      <sz val="16"/>
      <name val="Impact"/>
    </font>
    <font>
      <sz val="12"/>
      <name val="Calibri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00B0F0"/>
        <bgColor rgb="FF00B0F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2" xfId="0" applyFont="1" applyFill="1" applyBorder="1"/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14" fontId="2" fillId="0" borderId="1" xfId="0" applyNumberFormat="1" applyFont="1" applyBorder="1"/>
    <xf numFmtId="15" fontId="2" fillId="0" borderId="1" xfId="0" applyNumberFormat="1" applyFont="1" applyBorder="1"/>
    <xf numFmtId="15" fontId="6" fillId="0" borderId="1" xfId="0" applyNumberFormat="1" applyFont="1" applyBorder="1" applyAlignment="1">
      <alignment horizontal="center"/>
    </xf>
    <xf numFmtId="15" fontId="2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0" xfId="0" applyFont="1"/>
    <xf numFmtId="0" fontId="7" fillId="3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</cellXfs>
  <cellStyles count="1">
    <cellStyle name="Normal" xfId="0" builtinId="0"/>
  </cellStyles>
  <dxfs count="29"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E598"/>
          <bgColor rgb="FFFFE59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6</xdr:row>
      <xdr:rowOff>0</xdr:rowOff>
    </xdr:from>
    <xdr:ext cx="333375" cy="495300"/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025590" y="1100253"/>
          <a:ext cx="341970" cy="501806"/>
        </a:xfrm>
        <a:prstGeom prst="downArrow">
          <a:avLst/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IN"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C43" sqref="C43"/>
    </sheetView>
  </sheetViews>
  <sheetFormatPr defaultColWidth="12.625" defaultRowHeight="15" customHeight="1"/>
  <cols>
    <col min="1" max="1" width="10.5" customWidth="1"/>
    <col min="2" max="3" width="9.375" customWidth="1"/>
    <col min="4" max="4" width="11.375" customWidth="1"/>
    <col min="5" max="5" width="9.375" customWidth="1"/>
    <col min="6" max="7" width="9" customWidth="1"/>
    <col min="8" max="8" width="11.625" customWidth="1"/>
    <col min="9" max="9" width="10.625" customWidth="1"/>
    <col min="10" max="10" width="9" customWidth="1"/>
    <col min="11" max="11" width="10.125" customWidth="1"/>
  </cols>
  <sheetData>
    <row r="1" spans="1:11" ht="18.75" customHeight="1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0</v>
      </c>
      <c r="G1" s="2"/>
      <c r="H1" s="3" t="s">
        <v>0</v>
      </c>
      <c r="I1" s="4"/>
      <c r="J1" s="2"/>
      <c r="K1" s="2"/>
    </row>
    <row r="2" spans="1:11" ht="14.25" customHeight="1">
      <c r="A2" s="1">
        <v>5600001</v>
      </c>
      <c r="B2" s="1">
        <v>5000</v>
      </c>
      <c r="C2" s="1" t="s">
        <v>5</v>
      </c>
      <c r="D2" s="1" t="s">
        <v>6</v>
      </c>
      <c r="E2" s="1" t="s">
        <v>7</v>
      </c>
      <c r="F2" s="1">
        <v>5600001</v>
      </c>
      <c r="G2" s="2"/>
      <c r="H2" s="5" t="s">
        <v>1</v>
      </c>
      <c r="I2" s="6"/>
      <c r="J2" s="2"/>
      <c r="K2" s="2"/>
    </row>
    <row r="3" spans="1:11" ht="14.25" customHeight="1">
      <c r="A3" s="1">
        <v>5600002</v>
      </c>
      <c r="B3" s="1">
        <v>14571</v>
      </c>
      <c r="C3" s="1" t="s">
        <v>8</v>
      </c>
      <c r="D3" s="1" t="s">
        <v>6</v>
      </c>
      <c r="E3" s="1" t="s">
        <v>9</v>
      </c>
      <c r="F3" s="1">
        <v>5600002</v>
      </c>
      <c r="G3" s="2"/>
      <c r="H3" s="3" t="s">
        <v>2</v>
      </c>
      <c r="I3" s="6"/>
      <c r="J3" s="2"/>
      <c r="K3" s="2"/>
    </row>
    <row r="4" spans="1:11" ht="14.25" customHeight="1">
      <c r="A4" s="1">
        <v>5600003</v>
      </c>
      <c r="B4" s="1">
        <v>500</v>
      </c>
      <c r="C4" s="1" t="s">
        <v>10</v>
      </c>
      <c r="D4" s="1" t="s">
        <v>6</v>
      </c>
      <c r="E4" s="1" t="s">
        <v>7</v>
      </c>
      <c r="F4" s="1">
        <v>5600003</v>
      </c>
      <c r="G4" s="2"/>
      <c r="H4" s="3" t="s">
        <v>3</v>
      </c>
      <c r="I4" s="6"/>
      <c r="J4" s="2"/>
      <c r="K4" s="2"/>
    </row>
    <row r="5" spans="1:11" ht="14.25" customHeight="1">
      <c r="A5" s="1">
        <v>5600004</v>
      </c>
      <c r="B5" s="1">
        <v>15000</v>
      </c>
      <c r="C5" s="1" t="s">
        <v>8</v>
      </c>
      <c r="D5" s="1" t="s">
        <v>6</v>
      </c>
      <c r="E5" s="1" t="s">
        <v>7</v>
      </c>
      <c r="F5" s="1">
        <v>5600004</v>
      </c>
      <c r="G5" s="2"/>
      <c r="H5" s="3" t="s">
        <v>4</v>
      </c>
      <c r="I5" s="6"/>
      <c r="J5" s="2"/>
      <c r="K5" s="2"/>
    </row>
    <row r="6" spans="1:11" ht="14.25" customHeight="1">
      <c r="A6" s="1">
        <v>5600005</v>
      </c>
      <c r="B6" s="1">
        <v>4623</v>
      </c>
      <c r="C6" s="1" t="s">
        <v>11</v>
      </c>
      <c r="D6" s="1" t="s">
        <v>12</v>
      </c>
      <c r="E6" s="1" t="s">
        <v>7</v>
      </c>
      <c r="F6" s="1">
        <v>5600005</v>
      </c>
      <c r="G6" s="2"/>
      <c r="H6" s="2"/>
      <c r="I6" s="2"/>
      <c r="J6" s="2"/>
      <c r="K6" s="2"/>
    </row>
    <row r="7" spans="1:11" ht="14.25" customHeight="1">
      <c r="A7" s="1">
        <v>5600006</v>
      </c>
      <c r="B7" s="1">
        <v>8721</v>
      </c>
      <c r="C7" s="1" t="s">
        <v>11</v>
      </c>
      <c r="D7" s="1" t="s">
        <v>13</v>
      </c>
      <c r="E7" s="1" t="s">
        <v>9</v>
      </c>
      <c r="F7" s="1">
        <v>5600006</v>
      </c>
      <c r="G7" s="2"/>
      <c r="H7" s="2"/>
      <c r="I7" s="2"/>
      <c r="J7" s="2"/>
      <c r="K7" s="2"/>
    </row>
    <row r="8" spans="1:11" ht="14.25" customHeight="1">
      <c r="A8" s="1">
        <v>5600007</v>
      </c>
      <c r="B8" s="1">
        <v>15276</v>
      </c>
      <c r="C8" s="1" t="s">
        <v>11</v>
      </c>
      <c r="D8" s="1" t="s">
        <v>12</v>
      </c>
      <c r="E8" s="1" t="s">
        <v>7</v>
      </c>
      <c r="F8" s="1">
        <v>5600007</v>
      </c>
      <c r="G8" s="2"/>
      <c r="H8" s="3" t="s">
        <v>0</v>
      </c>
      <c r="I8" s="6">
        <f>F10</f>
        <v>5600009</v>
      </c>
      <c r="J8" s="2"/>
      <c r="K8" s="2"/>
    </row>
    <row r="9" spans="1:11" ht="14.25" customHeight="1">
      <c r="A9" s="1">
        <v>5600008</v>
      </c>
      <c r="B9" s="1">
        <v>5000</v>
      </c>
      <c r="C9" s="1" t="s">
        <v>11</v>
      </c>
      <c r="D9" s="1" t="s">
        <v>13</v>
      </c>
      <c r="E9" s="1" t="s">
        <v>7</v>
      </c>
      <c r="F9" s="1">
        <v>5600008</v>
      </c>
      <c r="G9" s="2"/>
      <c r="H9" s="5" t="s">
        <v>1</v>
      </c>
      <c r="I9" s="6"/>
      <c r="J9" s="7"/>
      <c r="K9" s="8"/>
    </row>
    <row r="10" spans="1:11" ht="14.25" customHeight="1">
      <c r="A10" s="1">
        <v>5600009</v>
      </c>
      <c r="B10" s="1">
        <v>15000</v>
      </c>
      <c r="C10" s="1" t="s">
        <v>8</v>
      </c>
      <c r="D10" s="1" t="s">
        <v>13</v>
      </c>
      <c r="E10" s="1" t="s">
        <v>7</v>
      </c>
      <c r="F10" s="1">
        <v>5600009</v>
      </c>
      <c r="G10" s="2"/>
      <c r="H10" s="3" t="s">
        <v>2</v>
      </c>
      <c r="I10" s="6"/>
      <c r="J10" s="7"/>
      <c r="K10" s="8"/>
    </row>
    <row r="11" spans="1:11" ht="14.25" customHeight="1">
      <c r="A11" s="1">
        <v>5600010</v>
      </c>
      <c r="B11" s="1">
        <v>12000</v>
      </c>
      <c r="C11" s="1" t="s">
        <v>8</v>
      </c>
      <c r="D11" s="1" t="s">
        <v>13</v>
      </c>
      <c r="E11" s="1" t="s">
        <v>7</v>
      </c>
      <c r="F11" s="1">
        <v>5600010</v>
      </c>
      <c r="G11" s="2"/>
      <c r="H11" s="3" t="s">
        <v>3</v>
      </c>
      <c r="I11" s="6"/>
      <c r="J11" s="7"/>
      <c r="K11" s="8"/>
    </row>
    <row r="12" spans="1:11" ht="14.25" customHeight="1">
      <c r="A12" s="1">
        <v>5600011</v>
      </c>
      <c r="B12" s="1">
        <v>7177</v>
      </c>
      <c r="C12" s="1" t="s">
        <v>11</v>
      </c>
      <c r="D12" s="1" t="s">
        <v>12</v>
      </c>
      <c r="E12" s="1" t="s">
        <v>7</v>
      </c>
      <c r="F12" s="1">
        <v>5600011</v>
      </c>
      <c r="G12" s="2"/>
      <c r="H12" s="3" t="s">
        <v>4</v>
      </c>
      <c r="I12" s="6"/>
      <c r="J12" s="7"/>
      <c r="K12" s="8"/>
    </row>
    <row r="13" spans="1:11" ht="14.25" customHeight="1">
      <c r="A13" s="1">
        <v>5600012</v>
      </c>
      <c r="B13" s="1">
        <v>6837</v>
      </c>
      <c r="C13" s="1" t="s">
        <v>11</v>
      </c>
      <c r="D13" s="1" t="s">
        <v>13</v>
      </c>
      <c r="E13" s="1" t="s">
        <v>7</v>
      </c>
      <c r="F13" s="1">
        <v>5600012</v>
      </c>
      <c r="G13" s="2"/>
      <c r="H13" s="2"/>
      <c r="I13" s="2"/>
      <c r="J13" s="2"/>
      <c r="K13" s="2"/>
    </row>
    <row r="14" spans="1:11" ht="14.25" customHeight="1">
      <c r="A14" s="1">
        <v>5600013</v>
      </c>
      <c r="B14" s="1">
        <v>3171</v>
      </c>
      <c r="C14" s="1" t="s">
        <v>10</v>
      </c>
      <c r="D14" s="1" t="s">
        <v>13</v>
      </c>
      <c r="E14" s="1" t="s">
        <v>7</v>
      </c>
      <c r="F14" s="1">
        <v>5600013</v>
      </c>
      <c r="G14" s="2"/>
      <c r="H14" s="2"/>
      <c r="I14" s="2"/>
      <c r="J14" s="2"/>
      <c r="K14" s="2"/>
    </row>
    <row r="15" spans="1:11" ht="14.25" customHeight="1">
      <c r="A15" s="1">
        <v>5600014</v>
      </c>
      <c r="B15" s="1">
        <v>5000</v>
      </c>
      <c r="C15" s="1" t="s">
        <v>11</v>
      </c>
      <c r="D15" s="1" t="s">
        <v>6</v>
      </c>
      <c r="E15" s="1" t="s">
        <v>7</v>
      </c>
      <c r="F15" s="1">
        <v>5600014</v>
      </c>
      <c r="G15" s="2"/>
      <c r="H15" s="3" t="s">
        <v>0</v>
      </c>
      <c r="I15" s="6"/>
      <c r="J15" s="2"/>
      <c r="K15" s="2"/>
    </row>
    <row r="16" spans="1:11" ht="14.25" customHeight="1">
      <c r="A16" s="1">
        <v>5600015</v>
      </c>
      <c r="B16" s="1">
        <v>4690</v>
      </c>
      <c r="C16" s="1" t="s">
        <v>10</v>
      </c>
      <c r="D16" s="1" t="s">
        <v>12</v>
      </c>
      <c r="E16" s="1" t="s">
        <v>9</v>
      </c>
      <c r="F16" s="1">
        <v>5600015</v>
      </c>
      <c r="G16" s="2"/>
      <c r="H16" s="5" t="s">
        <v>1</v>
      </c>
      <c r="I16" s="6"/>
      <c r="J16" s="2"/>
      <c r="K16" s="2"/>
    </row>
    <row r="17" spans="1:11" ht="14.25" customHeight="1">
      <c r="A17" s="1">
        <v>5600016</v>
      </c>
      <c r="B17" s="1">
        <v>12438</v>
      </c>
      <c r="C17" s="1" t="s">
        <v>10</v>
      </c>
      <c r="D17" s="1" t="s">
        <v>6</v>
      </c>
      <c r="E17" s="1" t="s">
        <v>7</v>
      </c>
      <c r="F17" s="1">
        <v>5600016</v>
      </c>
      <c r="G17" s="2"/>
      <c r="H17" s="3" t="s">
        <v>2</v>
      </c>
      <c r="I17" s="6"/>
      <c r="J17" s="2"/>
      <c r="K17" s="2"/>
    </row>
    <row r="18" spans="1:11" ht="14.25" customHeight="1">
      <c r="A18" s="1">
        <v>5600017</v>
      </c>
      <c r="B18" s="1">
        <v>5000</v>
      </c>
      <c r="C18" s="1" t="s">
        <v>10</v>
      </c>
      <c r="D18" s="1" t="s">
        <v>12</v>
      </c>
      <c r="E18" s="1" t="s">
        <v>7</v>
      </c>
      <c r="F18" s="1">
        <v>5600017</v>
      </c>
      <c r="G18" s="2"/>
      <c r="H18" s="3" t="s">
        <v>3</v>
      </c>
      <c r="I18" s="6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3" t="s">
        <v>4</v>
      </c>
      <c r="I19" s="6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9" t="s">
        <v>0</v>
      </c>
      <c r="B21" s="10" t="s">
        <v>1</v>
      </c>
      <c r="C21" s="9" t="s">
        <v>2</v>
      </c>
      <c r="D21" s="9" t="s">
        <v>3</v>
      </c>
      <c r="E21" s="9" t="s">
        <v>4</v>
      </c>
      <c r="F21" s="2"/>
      <c r="G21" s="2"/>
      <c r="H21" s="2"/>
      <c r="I21" s="2"/>
      <c r="J21" s="2"/>
      <c r="K21" s="2"/>
    </row>
    <row r="22" spans="1:11" ht="14.25" customHeight="1">
      <c r="A22" s="6">
        <v>5600015</v>
      </c>
      <c r="B22" s="2">
        <f>INDEX($B$2:$E$18,MATCH($A22,$F$2:$F$18,0),MATCH(B$21,$B$1:$E$1,0))</f>
        <v>4690</v>
      </c>
      <c r="C22" s="2" t="str">
        <f t="shared" ref="C22:E25" si="0">INDEX($B$2:$E$18,MATCH($A22,$F$2:$F$18,0),MATCH(C$21,$B$1:$E$1,0))</f>
        <v>Checking</v>
      </c>
      <c r="D22" s="2" t="str">
        <f t="shared" si="0"/>
        <v>North County</v>
      </c>
      <c r="E22" s="2" t="str">
        <f t="shared" si="0"/>
        <v>New</v>
      </c>
      <c r="F22" s="2"/>
      <c r="G22" s="2"/>
      <c r="H22" s="2"/>
      <c r="I22" s="2"/>
      <c r="J22" s="2"/>
      <c r="K22" s="2"/>
    </row>
    <row r="23" spans="1:11" ht="14.25" customHeight="1">
      <c r="A23" s="1">
        <v>5600012</v>
      </c>
      <c r="B23" s="2">
        <f>INDEX($B$2:$E$18,MATCH($A23,$F$2:$F$18,0),MATCH(B$21,$B$1:$E$1,0))</f>
        <v>6837</v>
      </c>
      <c r="C23" s="2" t="str">
        <f t="shared" si="0"/>
        <v>Savings</v>
      </c>
      <c r="D23" s="2" t="str">
        <f t="shared" si="0"/>
        <v>Westside</v>
      </c>
      <c r="E23" s="2" t="str">
        <f t="shared" si="0"/>
        <v>Existing</v>
      </c>
      <c r="F23" s="2"/>
      <c r="G23" s="2"/>
      <c r="H23" s="2"/>
      <c r="I23" s="2"/>
      <c r="J23" s="2"/>
      <c r="K23" s="2"/>
    </row>
    <row r="24" spans="1:11" ht="14.25" customHeight="1">
      <c r="A24" s="1">
        <v>5600010</v>
      </c>
      <c r="B24" s="2">
        <f>INDEX($B$2:$E$18,MATCH($A24,$F$2:$F$18,0),MATCH(B$21,$B$1:$E$1,0))</f>
        <v>12000</v>
      </c>
      <c r="C24" s="2" t="str">
        <f t="shared" si="0"/>
        <v>CD</v>
      </c>
      <c r="D24" s="2" t="str">
        <f t="shared" si="0"/>
        <v>Westside</v>
      </c>
      <c r="E24" s="2" t="str">
        <f t="shared" si="0"/>
        <v>Existing</v>
      </c>
      <c r="F24" s="2"/>
      <c r="G24" s="2"/>
      <c r="H24" s="2"/>
      <c r="I24" s="2"/>
      <c r="J24" s="2"/>
      <c r="K24" s="2"/>
    </row>
    <row r="25" spans="1:11" ht="14.25" customHeight="1">
      <c r="A25" s="1">
        <v>5600015</v>
      </c>
      <c r="B25" s="2">
        <f>INDEX($B$2:$E$18,MATCH($A25,$F$2:$F$18,0),MATCH(B$21,$B$1:$E$1,0))</f>
        <v>4690</v>
      </c>
      <c r="C25" s="2" t="str">
        <f t="shared" si="0"/>
        <v>Checking</v>
      </c>
      <c r="D25" s="2" t="str">
        <f t="shared" si="0"/>
        <v>North County</v>
      </c>
      <c r="E25" s="2" t="str">
        <f t="shared" si="0"/>
        <v>New</v>
      </c>
      <c r="F25" s="2"/>
      <c r="G25" s="2"/>
      <c r="H25" s="2"/>
      <c r="I25" s="2"/>
      <c r="J25" s="2"/>
      <c r="K25" s="2"/>
    </row>
    <row r="26" spans="1:11" ht="14.25" customHeight="1">
      <c r="A26" s="1">
        <v>5600014</v>
      </c>
      <c r="B26" s="2">
        <f>INDEX($B$2:$E$18,MATCH($A26,$F$2:$F$18,0),MATCH(B$21,$B$1:$E$1,0))</f>
        <v>5000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1">
        <v>5600009</v>
      </c>
      <c r="B27" s="2">
        <f>INDEX($B$2:$E$18,MATCH($A27,$F$2:$F$18,0),MATCH(B$21,$B$1:$E$1,0))</f>
        <v>15000</v>
      </c>
      <c r="C27" s="2" t="str">
        <f t="shared" ref="C27:E27" si="1">INDEX($B$2:$E$18,MATCH($A27,$F$2:$F$18,0),MATCH(C$21,$B$1:$E$1,0))</f>
        <v>CD</v>
      </c>
      <c r="D27" s="2" t="str">
        <f t="shared" si="1"/>
        <v>Westside</v>
      </c>
      <c r="E27" s="2" t="str">
        <f t="shared" si="1"/>
        <v>Existing</v>
      </c>
      <c r="F27" s="2"/>
      <c r="G27" s="2"/>
      <c r="H27" s="2"/>
      <c r="I27" s="2"/>
      <c r="J27" s="2"/>
      <c r="K27" s="2"/>
    </row>
    <row r="28" spans="1:11" ht="14.25" customHeight="1">
      <c r="A28" s="2"/>
      <c r="B28" s="2" t="e">
        <f t="shared" ref="B23:B29" si="2">INDEX($B$2:$E$18,MATCH($A$22,$F$2:$F$18,0),MATCH(B27,$B$1:$E$1,0))</f>
        <v>#N/A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 t="e">
        <f t="shared" si="2"/>
        <v>#N/A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conditionalFormatting sqref="B2:B18">
    <cfRule type="expression" dxfId="28" priority="25">
      <formula>MAX($B$2:$B$18)=$B2</formula>
    </cfRule>
  </conditionalFormatting>
  <conditionalFormatting sqref="A2:A18">
    <cfRule type="expression" dxfId="27" priority="26">
      <formula>MAX($B$2:$B$18)=$B2</formula>
    </cfRule>
  </conditionalFormatting>
  <conditionalFormatting sqref="D2:D18">
    <cfRule type="expression" dxfId="26" priority="27">
      <formula>MAX($B$2:$B$18)=$B2</formula>
    </cfRule>
  </conditionalFormatting>
  <conditionalFormatting sqref="A2:E18">
    <cfRule type="expression" dxfId="25" priority="28">
      <formula>$D2=$F$2</formula>
    </cfRule>
  </conditionalFormatting>
  <conditionalFormatting sqref="A2:E18">
    <cfRule type="expression" dxfId="24" priority="29">
      <formula>MAX($B$2:$B$18)=$B2</formula>
    </cfRule>
  </conditionalFormatting>
  <conditionalFormatting sqref="F2:F18">
    <cfRule type="expression" dxfId="23" priority="22">
      <formula>MAX($B$2:$B$18)=$B2</formula>
    </cfRule>
  </conditionalFormatting>
  <conditionalFormatting sqref="F2:F18">
    <cfRule type="expression" dxfId="22" priority="23">
      <formula>$D2=$F$2</formula>
    </cfRule>
  </conditionalFormatting>
  <conditionalFormatting sqref="F2:F18">
    <cfRule type="expression" dxfId="21" priority="24">
      <formula>MAX($B$2:$B$18)=$B2</formula>
    </cfRule>
  </conditionalFormatting>
  <conditionalFormatting sqref="A24">
    <cfRule type="expression" dxfId="17" priority="16">
      <formula>MAX($B$2:$B$18)=$B24</formula>
    </cfRule>
  </conditionalFormatting>
  <conditionalFormatting sqref="A24">
    <cfRule type="expression" dxfId="16" priority="17">
      <formula>$D24=$F$2</formula>
    </cfRule>
  </conditionalFormatting>
  <conditionalFormatting sqref="A24">
    <cfRule type="expression" dxfId="15" priority="18">
      <formula>MAX($B$2:$B$18)=$B24</formula>
    </cfRule>
  </conditionalFormatting>
  <conditionalFormatting sqref="A23">
    <cfRule type="expression" dxfId="11" priority="10">
      <formula>MAX($B$2:$B$18)=$B23</formula>
    </cfRule>
  </conditionalFormatting>
  <conditionalFormatting sqref="A23">
    <cfRule type="expression" dxfId="10" priority="11">
      <formula>$D23=$F$2</formula>
    </cfRule>
  </conditionalFormatting>
  <conditionalFormatting sqref="A23">
    <cfRule type="expression" dxfId="9" priority="12">
      <formula>MAX($B$2:$B$18)=$B23</formula>
    </cfRule>
  </conditionalFormatting>
  <conditionalFormatting sqref="A25">
    <cfRule type="expression" dxfId="8" priority="7">
      <formula>MAX($B$2:$B$18)=$B25</formula>
    </cfRule>
  </conditionalFormatting>
  <conditionalFormatting sqref="A25">
    <cfRule type="expression" dxfId="7" priority="8">
      <formula>$D25=$F$2</formula>
    </cfRule>
  </conditionalFormatting>
  <conditionalFormatting sqref="A25">
    <cfRule type="expression" dxfId="6" priority="9">
      <formula>MAX($B$2:$B$18)=$B25</formula>
    </cfRule>
  </conditionalFormatting>
  <conditionalFormatting sqref="A26">
    <cfRule type="expression" dxfId="5" priority="4">
      <formula>MAX($B$2:$B$18)=$B26</formula>
    </cfRule>
  </conditionalFormatting>
  <conditionalFormatting sqref="A26">
    <cfRule type="expression" dxfId="4" priority="5">
      <formula>$D26=$F$2</formula>
    </cfRule>
  </conditionalFormatting>
  <conditionalFormatting sqref="A26">
    <cfRule type="expression" dxfId="3" priority="6">
      <formula>MAX($B$2:$B$18)=$B26</formula>
    </cfRule>
  </conditionalFormatting>
  <conditionalFormatting sqref="A27">
    <cfRule type="expression" dxfId="2" priority="1">
      <formula>MAX($B$2:$B$18)=$B27</formula>
    </cfRule>
  </conditionalFormatting>
  <conditionalFormatting sqref="A27">
    <cfRule type="expression" dxfId="1" priority="2">
      <formula>$D27=$F$2</formula>
    </cfRule>
  </conditionalFormatting>
  <conditionalFormatting sqref="A27">
    <cfRule type="expression" dxfId="0" priority="3">
      <formula>MAX($B$2:$B$18)=$B27</formula>
    </cfRule>
  </conditionalFormatting>
  <dataValidations count="2">
    <dataValidation type="list" allowBlank="1" showErrorMessage="1" sqref="I8 I15 A22" xr:uid="{00000000-0002-0000-0000-000000000000}">
      <formula1>$A:$A</formula1>
    </dataValidation>
    <dataValidation type="list" allowBlank="1" showErrorMessage="1" sqref="I1" xr:uid="{00000000-0002-0000-0000-000001000000}">
      <formula1>$A$2:$A$18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workbookViewId="0"/>
  </sheetViews>
  <sheetFormatPr defaultColWidth="12.625" defaultRowHeight="15" customHeight="1"/>
  <cols>
    <col min="1" max="1" width="10.375" customWidth="1"/>
    <col min="2" max="18" width="8.625" customWidth="1"/>
  </cols>
  <sheetData>
    <row r="1" spans="1:18">
      <c r="A1" s="1" t="s">
        <v>0</v>
      </c>
      <c r="B1" s="1">
        <v>5600001</v>
      </c>
      <c r="C1" s="1">
        <v>5600002</v>
      </c>
      <c r="D1" s="1">
        <v>5600003</v>
      </c>
      <c r="E1" s="1">
        <v>5600004</v>
      </c>
      <c r="F1" s="1">
        <v>5600005</v>
      </c>
      <c r="G1" s="1">
        <v>5600006</v>
      </c>
      <c r="H1" s="1">
        <v>5600007</v>
      </c>
      <c r="I1" s="1">
        <v>5600008</v>
      </c>
      <c r="J1" s="1">
        <v>5600009</v>
      </c>
      <c r="K1" s="1">
        <v>5600010</v>
      </c>
      <c r="L1" s="1">
        <v>5600011</v>
      </c>
      <c r="M1" s="1">
        <v>5600012</v>
      </c>
      <c r="N1" s="1">
        <v>5600013</v>
      </c>
      <c r="O1" s="1">
        <v>5600014</v>
      </c>
      <c r="P1" s="1">
        <v>5600015</v>
      </c>
      <c r="Q1" s="1">
        <v>5600016</v>
      </c>
      <c r="R1" s="1">
        <v>5600017</v>
      </c>
    </row>
    <row r="2" spans="1:18">
      <c r="A2" s="1" t="s">
        <v>1</v>
      </c>
      <c r="B2" s="1">
        <v>5000</v>
      </c>
      <c r="C2" s="1">
        <v>14571</v>
      </c>
      <c r="D2" s="1">
        <v>500</v>
      </c>
      <c r="E2" s="1">
        <v>15000</v>
      </c>
      <c r="F2" s="1">
        <v>4623</v>
      </c>
      <c r="G2" s="1">
        <v>8721</v>
      </c>
      <c r="H2" s="1">
        <v>15276</v>
      </c>
      <c r="I2" s="1">
        <v>5000</v>
      </c>
      <c r="J2" s="1">
        <v>15759</v>
      </c>
      <c r="K2" s="1">
        <v>12000</v>
      </c>
      <c r="L2" s="1">
        <v>7177</v>
      </c>
      <c r="M2" s="1">
        <v>6837</v>
      </c>
      <c r="N2" s="1">
        <v>3171</v>
      </c>
      <c r="O2" s="1">
        <v>50000</v>
      </c>
      <c r="P2" s="1">
        <v>4690</v>
      </c>
      <c r="Q2" s="1">
        <v>12438</v>
      </c>
      <c r="R2" s="1">
        <v>5000</v>
      </c>
    </row>
    <row r="3" spans="1:18">
      <c r="A3" s="1" t="s">
        <v>2</v>
      </c>
      <c r="B3" s="1" t="s">
        <v>5</v>
      </c>
      <c r="C3" s="1" t="s">
        <v>8</v>
      </c>
      <c r="D3" s="1" t="s">
        <v>10</v>
      </c>
      <c r="E3" s="1" t="s">
        <v>8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8</v>
      </c>
      <c r="K3" s="1" t="s">
        <v>8</v>
      </c>
      <c r="L3" s="1" t="s">
        <v>11</v>
      </c>
      <c r="M3" s="1" t="s">
        <v>11</v>
      </c>
      <c r="N3" s="1" t="s">
        <v>10</v>
      </c>
      <c r="O3" s="1" t="s">
        <v>11</v>
      </c>
      <c r="P3" s="1" t="s">
        <v>10</v>
      </c>
      <c r="Q3" s="1" t="s">
        <v>10</v>
      </c>
      <c r="R3" s="1" t="s">
        <v>10</v>
      </c>
    </row>
    <row r="4" spans="1:18">
      <c r="A4" s="1" t="s">
        <v>3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12</v>
      </c>
      <c r="G4" s="1" t="s">
        <v>13</v>
      </c>
      <c r="H4" s="1" t="s">
        <v>12</v>
      </c>
      <c r="I4" s="1" t="s">
        <v>13</v>
      </c>
      <c r="J4" s="1" t="s">
        <v>13</v>
      </c>
      <c r="K4" s="1" t="s">
        <v>13</v>
      </c>
      <c r="L4" s="1" t="s">
        <v>12</v>
      </c>
      <c r="M4" s="1" t="s">
        <v>13</v>
      </c>
      <c r="N4" s="1" t="s">
        <v>13</v>
      </c>
      <c r="O4" s="1" t="s">
        <v>6</v>
      </c>
      <c r="P4" s="1" t="s">
        <v>12</v>
      </c>
      <c r="Q4" s="1" t="s">
        <v>6</v>
      </c>
      <c r="R4" s="1" t="s">
        <v>12</v>
      </c>
    </row>
    <row r="5" spans="1:18">
      <c r="A5" s="1" t="s">
        <v>4</v>
      </c>
      <c r="B5" s="1" t="s">
        <v>7</v>
      </c>
      <c r="C5" s="1" t="s">
        <v>9</v>
      </c>
      <c r="D5" s="1" t="s">
        <v>7</v>
      </c>
      <c r="E5" s="1" t="s">
        <v>7</v>
      </c>
      <c r="F5" s="1" t="s">
        <v>7</v>
      </c>
      <c r="G5" s="1" t="s">
        <v>9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9</v>
      </c>
      <c r="Q5" s="1" t="s">
        <v>7</v>
      </c>
      <c r="R5" s="1" t="s">
        <v>7</v>
      </c>
    </row>
    <row r="8" spans="1:18">
      <c r="A8" s="1" t="s">
        <v>0</v>
      </c>
      <c r="B8">
        <f>E1</f>
        <v>5600004</v>
      </c>
    </row>
    <row r="9" spans="1:18">
      <c r="A9" s="1" t="s">
        <v>1</v>
      </c>
      <c r="B9">
        <f t="shared" ref="B9:B12" si="0">HLOOKUP($B$8,$A$1:$R$5,ROW(B2),0)</f>
        <v>15000</v>
      </c>
    </row>
    <row r="10" spans="1:18">
      <c r="A10" s="1" t="s">
        <v>2</v>
      </c>
      <c r="B10" t="str">
        <f t="shared" si="0"/>
        <v>CD</v>
      </c>
    </row>
    <row r="11" spans="1:18">
      <c r="A11" s="1" t="s">
        <v>3</v>
      </c>
      <c r="B11" t="str">
        <f t="shared" si="0"/>
        <v>Central</v>
      </c>
    </row>
    <row r="12" spans="1:18">
      <c r="A12" s="1" t="s">
        <v>4</v>
      </c>
      <c r="B12" t="str">
        <f t="shared" si="0"/>
        <v>Existing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abSelected="1" workbookViewId="0"/>
  </sheetViews>
  <sheetFormatPr defaultColWidth="12.625" defaultRowHeight="15" customHeight="1"/>
  <cols>
    <col min="1" max="1" width="9" customWidth="1"/>
    <col min="2" max="2" width="15.625" customWidth="1"/>
    <col min="3" max="3" width="9" customWidth="1"/>
    <col min="4" max="4" width="17.125" customWidth="1"/>
    <col min="5" max="5" width="12.875" customWidth="1"/>
    <col min="6" max="6" width="6" customWidth="1"/>
    <col min="7" max="11" width="5.625" customWidth="1"/>
  </cols>
  <sheetData>
    <row r="1" spans="1:11" ht="14.25" customHeight="1">
      <c r="A1" s="11" t="s">
        <v>14</v>
      </c>
      <c r="B1" s="11" t="s">
        <v>15</v>
      </c>
      <c r="C1" s="11" t="s">
        <v>16</v>
      </c>
      <c r="D1" s="11" t="s">
        <v>17</v>
      </c>
      <c r="E1" s="2"/>
      <c r="F1" s="11" t="s">
        <v>16</v>
      </c>
      <c r="G1" s="11" t="s">
        <v>17</v>
      </c>
      <c r="H1" s="2"/>
      <c r="I1" s="2"/>
      <c r="J1" s="2"/>
      <c r="K1" s="2"/>
    </row>
    <row r="2" spans="1:11" ht="14.25" customHeight="1">
      <c r="A2" s="6">
        <v>1</v>
      </c>
      <c r="B2" s="6" t="s">
        <v>18</v>
      </c>
      <c r="C2" s="6">
        <v>44</v>
      </c>
      <c r="D2" s="6"/>
      <c r="E2" s="2"/>
      <c r="F2" s="6">
        <v>0</v>
      </c>
      <c r="G2" s="6" t="s">
        <v>19</v>
      </c>
      <c r="H2" s="2"/>
      <c r="I2" s="2"/>
      <c r="J2" s="2"/>
      <c r="K2" s="2"/>
    </row>
    <row r="3" spans="1:11" ht="14.25" customHeight="1">
      <c r="A3" s="6">
        <v>2</v>
      </c>
      <c r="B3" s="6" t="s">
        <v>20</v>
      </c>
      <c r="C3" s="6">
        <v>65</v>
      </c>
      <c r="D3" s="6"/>
      <c r="E3" s="2"/>
      <c r="F3" s="6">
        <v>35</v>
      </c>
      <c r="G3" s="6" t="s">
        <v>21</v>
      </c>
      <c r="H3" s="2"/>
      <c r="I3" s="2"/>
      <c r="J3" s="2"/>
      <c r="K3" s="2"/>
    </row>
    <row r="4" spans="1:11" ht="14.25" customHeight="1">
      <c r="A4" s="6">
        <v>3</v>
      </c>
      <c r="B4" s="6" t="s">
        <v>21</v>
      </c>
      <c r="C4" s="6">
        <v>25</v>
      </c>
      <c r="D4" s="6"/>
      <c r="E4" s="2"/>
      <c r="F4" s="6">
        <v>45</v>
      </c>
      <c r="G4" s="6" t="s">
        <v>20</v>
      </c>
      <c r="H4" s="2"/>
      <c r="I4" s="2"/>
      <c r="J4" s="2"/>
      <c r="K4" s="2"/>
    </row>
    <row r="5" spans="1:11" ht="14.25" customHeight="1">
      <c r="A5" s="6">
        <v>4</v>
      </c>
      <c r="B5" s="6" t="s">
        <v>22</v>
      </c>
      <c r="C5" s="6">
        <v>35</v>
      </c>
      <c r="D5" s="6"/>
      <c r="E5" s="2"/>
      <c r="F5" s="6">
        <v>60</v>
      </c>
      <c r="G5" s="6" t="s">
        <v>18</v>
      </c>
      <c r="H5" s="2"/>
      <c r="I5" s="2"/>
      <c r="J5" s="2"/>
      <c r="K5" s="2"/>
    </row>
    <row r="6" spans="1:11" ht="14.25" customHeight="1">
      <c r="A6" s="6">
        <v>5</v>
      </c>
      <c r="B6" s="6" t="s">
        <v>23</v>
      </c>
      <c r="C6" s="6">
        <v>78</v>
      </c>
      <c r="D6" s="6"/>
      <c r="E6" s="2"/>
      <c r="F6" s="6">
        <v>75</v>
      </c>
      <c r="G6" s="6" t="s">
        <v>24</v>
      </c>
      <c r="H6" s="2"/>
      <c r="I6" s="2"/>
      <c r="J6" s="2"/>
      <c r="K6" s="2"/>
    </row>
    <row r="7" spans="1:11" ht="14.25" customHeight="1">
      <c r="A7" s="6">
        <v>6</v>
      </c>
      <c r="B7" s="6" t="s">
        <v>25</v>
      </c>
      <c r="C7" s="6">
        <v>65</v>
      </c>
      <c r="D7" s="6"/>
      <c r="E7" s="2"/>
      <c r="F7" s="2"/>
      <c r="G7" s="2"/>
      <c r="H7" s="2"/>
      <c r="I7" s="2"/>
      <c r="J7" s="2"/>
      <c r="K7" s="2"/>
    </row>
    <row r="8" spans="1:11" ht="14.25" customHeight="1">
      <c r="A8" s="6">
        <v>7</v>
      </c>
      <c r="B8" s="6" t="s">
        <v>26</v>
      </c>
      <c r="C8" s="6">
        <v>98</v>
      </c>
      <c r="D8" s="6"/>
      <c r="E8" s="2"/>
      <c r="F8" s="2"/>
      <c r="G8" s="2"/>
      <c r="H8" s="2"/>
      <c r="I8" s="2"/>
      <c r="J8" s="2"/>
      <c r="K8" s="2"/>
    </row>
    <row r="9" spans="1:11" ht="14.25" customHeight="1">
      <c r="A9" s="6">
        <v>8</v>
      </c>
      <c r="B9" s="6" t="s">
        <v>27</v>
      </c>
      <c r="C9" s="6">
        <v>65</v>
      </c>
      <c r="D9" s="6"/>
      <c r="E9" s="2"/>
      <c r="F9" s="2"/>
      <c r="G9" s="2"/>
      <c r="H9" s="2"/>
      <c r="I9" s="2"/>
      <c r="J9" s="2"/>
      <c r="K9" s="2"/>
    </row>
    <row r="10" spans="1:11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25" customHeight="1">
      <c r="A16" s="11" t="s">
        <v>14</v>
      </c>
      <c r="B16" s="11" t="s">
        <v>15</v>
      </c>
      <c r="C16" s="11" t="s">
        <v>16</v>
      </c>
      <c r="D16" s="12" t="s">
        <v>28</v>
      </c>
      <c r="E16" s="2"/>
      <c r="F16" s="2"/>
      <c r="G16" s="2"/>
      <c r="H16" s="2"/>
      <c r="I16" s="2"/>
      <c r="J16" s="2"/>
      <c r="K16" s="2"/>
    </row>
    <row r="17" spans="1:11" ht="14.25" customHeight="1">
      <c r="A17" s="6">
        <v>1</v>
      </c>
      <c r="B17" s="6" t="s">
        <v>18</v>
      </c>
      <c r="C17" s="6">
        <v>44</v>
      </c>
      <c r="D17" s="6"/>
      <c r="E17" s="2"/>
      <c r="F17" s="11" t="s">
        <v>16</v>
      </c>
      <c r="G17" s="13">
        <v>0</v>
      </c>
      <c r="H17" s="13">
        <v>35</v>
      </c>
      <c r="I17" s="13">
        <v>45</v>
      </c>
      <c r="J17" s="13">
        <v>60</v>
      </c>
      <c r="K17" s="13">
        <v>75</v>
      </c>
    </row>
    <row r="18" spans="1:11" ht="14.25" customHeight="1">
      <c r="A18" s="6">
        <v>2</v>
      </c>
      <c r="B18" s="6" t="s">
        <v>20</v>
      </c>
      <c r="C18" s="6">
        <v>65</v>
      </c>
      <c r="D18" s="6"/>
      <c r="E18" s="2"/>
      <c r="F18" s="11" t="s">
        <v>17</v>
      </c>
      <c r="G18" s="13" t="s">
        <v>19</v>
      </c>
      <c r="H18" s="13" t="s">
        <v>21</v>
      </c>
      <c r="I18" s="13" t="s">
        <v>20</v>
      </c>
      <c r="J18" s="13" t="s">
        <v>18</v>
      </c>
      <c r="K18" s="13" t="s">
        <v>24</v>
      </c>
    </row>
    <row r="19" spans="1:11" ht="14.25" customHeight="1">
      <c r="A19" s="6">
        <v>3</v>
      </c>
      <c r="B19" s="6" t="s">
        <v>21</v>
      </c>
      <c r="C19" s="6">
        <v>25</v>
      </c>
      <c r="D19" s="6"/>
      <c r="E19" s="2"/>
      <c r="F19" s="2"/>
      <c r="G19" s="2"/>
      <c r="H19" s="2"/>
      <c r="I19" s="2"/>
      <c r="J19" s="2"/>
      <c r="K19" s="2"/>
    </row>
    <row r="20" spans="1:11" ht="14.25" customHeight="1">
      <c r="A20" s="6">
        <v>4</v>
      </c>
      <c r="B20" s="6" t="s">
        <v>22</v>
      </c>
      <c r="C20" s="6">
        <v>35</v>
      </c>
      <c r="D20" s="6"/>
      <c r="E20" s="2"/>
      <c r="F20" s="2"/>
      <c r="G20" s="2"/>
      <c r="H20" s="2"/>
      <c r="I20" s="2"/>
      <c r="J20" s="2"/>
      <c r="K20" s="2"/>
    </row>
    <row r="21" spans="1:11" ht="14.25" customHeight="1">
      <c r="A21" s="6">
        <v>5</v>
      </c>
      <c r="B21" s="6" t="s">
        <v>23</v>
      </c>
      <c r="C21" s="6">
        <v>78</v>
      </c>
      <c r="D21" s="6"/>
      <c r="E21" s="2"/>
      <c r="F21" s="2"/>
      <c r="G21" s="2"/>
      <c r="H21" s="2"/>
      <c r="I21" s="2"/>
      <c r="J21" s="2"/>
      <c r="K21" s="2"/>
    </row>
    <row r="22" spans="1:11" ht="14.25" customHeight="1">
      <c r="A22" s="6">
        <v>6</v>
      </c>
      <c r="B22" s="6" t="s">
        <v>25</v>
      </c>
      <c r="C22" s="6">
        <v>65</v>
      </c>
      <c r="D22" s="6"/>
      <c r="E22" s="2"/>
      <c r="F22" s="2"/>
      <c r="G22" s="2"/>
      <c r="H22" s="2"/>
      <c r="I22" s="2"/>
      <c r="J22" s="2"/>
      <c r="K22" s="2"/>
    </row>
    <row r="23" spans="1:11" ht="14.25" customHeight="1">
      <c r="A23" s="6">
        <v>7</v>
      </c>
      <c r="B23" s="6" t="s">
        <v>26</v>
      </c>
      <c r="C23" s="6">
        <v>98</v>
      </c>
      <c r="D23" s="6"/>
      <c r="E23" s="2"/>
      <c r="F23" s="2"/>
      <c r="G23" s="2"/>
      <c r="H23" s="2"/>
      <c r="I23" s="2"/>
      <c r="J23" s="2"/>
      <c r="K23" s="2"/>
    </row>
    <row r="24" spans="1:11" ht="14.25" customHeight="1">
      <c r="A24" s="6">
        <v>8</v>
      </c>
      <c r="B24" s="6" t="s">
        <v>27</v>
      </c>
      <c r="C24" s="6">
        <v>65</v>
      </c>
      <c r="D24" s="6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11" t="s">
        <v>14</v>
      </c>
      <c r="B33" s="11" t="s">
        <v>29</v>
      </c>
      <c r="C33" s="11" t="s">
        <v>30</v>
      </c>
      <c r="D33" s="2"/>
      <c r="E33" s="11" t="s">
        <v>29</v>
      </c>
      <c r="F33" s="11" t="s">
        <v>30</v>
      </c>
      <c r="G33" s="2"/>
      <c r="H33" s="2"/>
      <c r="I33" s="2"/>
      <c r="J33" s="2"/>
      <c r="K33" s="2"/>
    </row>
    <row r="34" spans="1:11" ht="14.25" customHeight="1">
      <c r="A34" s="6">
        <v>1</v>
      </c>
      <c r="B34" s="6" t="s">
        <v>31</v>
      </c>
      <c r="C34" s="6"/>
      <c r="D34" s="2"/>
      <c r="E34" s="6" t="s">
        <v>31</v>
      </c>
      <c r="F34" s="6">
        <v>25</v>
      </c>
      <c r="G34" s="2"/>
      <c r="H34" s="2"/>
      <c r="I34" s="2"/>
      <c r="J34" s="2"/>
      <c r="K34" s="2"/>
    </row>
    <row r="35" spans="1:11" ht="14.25" customHeight="1">
      <c r="A35" s="6">
        <v>2</v>
      </c>
      <c r="B35" s="6" t="s">
        <v>31</v>
      </c>
      <c r="C35" s="6"/>
      <c r="D35" s="2"/>
      <c r="E35" s="6" t="s">
        <v>32</v>
      </c>
      <c r="F35" s="6">
        <v>27</v>
      </c>
      <c r="G35" s="2"/>
      <c r="H35" s="2"/>
      <c r="I35" s="2"/>
      <c r="J35" s="2"/>
      <c r="K35" s="2"/>
    </row>
    <row r="36" spans="1:11" ht="14.25" customHeight="1">
      <c r="A36" s="6">
        <v>3</v>
      </c>
      <c r="B36" s="6" t="s">
        <v>33</v>
      </c>
      <c r="C36" s="6"/>
      <c r="D36" s="2"/>
      <c r="E36" s="6" t="s">
        <v>33</v>
      </c>
      <c r="F36" s="6">
        <v>28</v>
      </c>
      <c r="G36" s="2"/>
      <c r="H36" s="2"/>
      <c r="I36" s="2"/>
      <c r="J36" s="2"/>
      <c r="K36" s="2"/>
    </row>
    <row r="37" spans="1:11" ht="14.25" customHeight="1">
      <c r="A37" s="6">
        <v>4</v>
      </c>
      <c r="B37" s="6" t="s">
        <v>34</v>
      </c>
      <c r="C37" s="6"/>
      <c r="D37" s="2"/>
      <c r="E37" s="6" t="s">
        <v>34</v>
      </c>
      <c r="F37" s="6">
        <v>98</v>
      </c>
      <c r="G37" s="2"/>
      <c r="H37" s="2"/>
      <c r="I37" s="2"/>
      <c r="J37" s="2"/>
      <c r="K37" s="2"/>
    </row>
    <row r="38" spans="1:11" ht="14.25" customHeight="1">
      <c r="A38" s="6">
        <v>5</v>
      </c>
      <c r="B38" s="6" t="s">
        <v>33</v>
      </c>
      <c r="C38" s="6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6">
        <v>6</v>
      </c>
      <c r="B39" s="6" t="s">
        <v>34</v>
      </c>
      <c r="C39" s="6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6">
        <v>7</v>
      </c>
      <c r="B40" s="6" t="s">
        <v>32</v>
      </c>
      <c r="C40" s="6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6">
        <v>8</v>
      </c>
      <c r="B41" s="6" t="s">
        <v>34</v>
      </c>
      <c r="C41" s="6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6">
        <v>9</v>
      </c>
      <c r="B42" s="6" t="s">
        <v>33</v>
      </c>
      <c r="C42" s="6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6">
        <v>10</v>
      </c>
      <c r="B43" s="6" t="s">
        <v>31</v>
      </c>
      <c r="C43" s="6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"/>
  <sheetViews>
    <sheetView workbookViewId="0"/>
  </sheetViews>
  <sheetFormatPr defaultColWidth="12.625" defaultRowHeight="15" customHeight="1"/>
  <cols>
    <col min="1" max="1" width="10.875" customWidth="1"/>
    <col min="2" max="2" width="10.125" customWidth="1"/>
    <col min="3" max="3" width="15.375" customWidth="1"/>
    <col min="4" max="4" width="8.5" customWidth="1"/>
    <col min="5" max="6" width="8.375" customWidth="1"/>
    <col min="7" max="7" width="3.75" customWidth="1"/>
    <col min="8" max="8" width="16.125" customWidth="1"/>
    <col min="9" max="9" width="11.625" customWidth="1"/>
    <col min="10" max="11" width="9" customWidth="1"/>
    <col min="12" max="12" width="18.375" customWidth="1"/>
  </cols>
  <sheetData>
    <row r="1" spans="1:1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25" customHeight="1">
      <c r="A2" s="26" t="s">
        <v>35</v>
      </c>
      <c r="B2" s="27"/>
      <c r="C2" s="27"/>
      <c r="D2" s="27"/>
      <c r="E2" s="27"/>
      <c r="F2" s="27"/>
      <c r="G2" s="27"/>
      <c r="H2" s="28"/>
      <c r="I2" s="2"/>
      <c r="J2" s="2"/>
      <c r="K2" s="2"/>
      <c r="L2" s="2"/>
    </row>
    <row r="3" spans="1:12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.25" customHeight="1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2"/>
      <c r="G4" s="15" t="s">
        <v>41</v>
      </c>
      <c r="H4" s="6" t="s">
        <v>42</v>
      </c>
      <c r="I4" s="2"/>
      <c r="J4" s="2"/>
      <c r="K4" s="2"/>
      <c r="L4" s="2"/>
    </row>
    <row r="5" spans="1:12" ht="14.25" customHeight="1">
      <c r="A5" s="6" t="s">
        <v>43</v>
      </c>
      <c r="B5" s="16">
        <v>41031</v>
      </c>
      <c r="C5" s="17">
        <f t="shared" ref="C5:C7" si="0">EDATE(B5,1)</f>
        <v>41062</v>
      </c>
      <c r="D5" s="17">
        <f t="shared" ref="D5:D9" si="1">EDATE(C5,60)</f>
        <v>42888</v>
      </c>
      <c r="E5" s="6" t="str">
        <f t="shared" ref="E5:E9" ca="1" si="2">IF(D5&gt;TODAY(),"U.WARRANTY","W.XPIRED")</f>
        <v>W.XPIRED</v>
      </c>
      <c r="F5" s="2"/>
      <c r="G5" s="15" t="s">
        <v>37</v>
      </c>
      <c r="H5" s="18">
        <f t="shared" ref="H5:H8" si="3">VLOOKUP($H$4,$A$4:$E$9,ROW(B2),0)</f>
        <v>41124</v>
      </c>
      <c r="I5" s="2"/>
      <c r="J5" s="2"/>
      <c r="K5" s="2"/>
      <c r="L5" s="19"/>
    </row>
    <row r="6" spans="1:12" ht="14.25" customHeight="1">
      <c r="A6" s="6" t="s">
        <v>42</v>
      </c>
      <c r="B6" s="16">
        <v>41124</v>
      </c>
      <c r="C6" s="17">
        <f t="shared" si="0"/>
        <v>41155</v>
      </c>
      <c r="D6" s="17">
        <f t="shared" si="1"/>
        <v>42981</v>
      </c>
      <c r="E6" s="6" t="str">
        <f t="shared" ca="1" si="2"/>
        <v>W.XPIRED</v>
      </c>
      <c r="F6" s="2"/>
      <c r="G6" s="15" t="s">
        <v>38</v>
      </c>
      <c r="H6" s="18">
        <f t="shared" si="3"/>
        <v>41155</v>
      </c>
      <c r="I6" s="2"/>
      <c r="J6" s="2"/>
      <c r="K6" s="2"/>
      <c r="L6" s="19"/>
    </row>
    <row r="7" spans="1:12" ht="14.25" customHeight="1">
      <c r="A7" s="6" t="s">
        <v>44</v>
      </c>
      <c r="B7" s="16">
        <v>41033</v>
      </c>
      <c r="C7" s="17">
        <f t="shared" si="0"/>
        <v>41064</v>
      </c>
      <c r="D7" s="17">
        <f t="shared" si="1"/>
        <v>42890</v>
      </c>
      <c r="E7" s="6" t="str">
        <f t="shared" ca="1" si="2"/>
        <v>W.XPIRED</v>
      </c>
      <c r="F7" s="2"/>
      <c r="G7" s="15" t="s">
        <v>39</v>
      </c>
      <c r="H7" s="18">
        <f t="shared" si="3"/>
        <v>42981</v>
      </c>
      <c r="I7" s="2"/>
      <c r="J7" s="2"/>
      <c r="K7" s="2"/>
      <c r="L7" s="19"/>
    </row>
    <row r="8" spans="1:12" ht="14.25" customHeight="1">
      <c r="A8" s="6" t="s">
        <v>45</v>
      </c>
      <c r="B8" s="16">
        <v>41430</v>
      </c>
      <c r="C8" s="17">
        <f>EDATE(B8,12)</f>
        <v>41795</v>
      </c>
      <c r="D8" s="17">
        <f t="shared" si="1"/>
        <v>43621</v>
      </c>
      <c r="E8" s="6" t="str">
        <f t="shared" ca="1" si="2"/>
        <v>W.XPIRED</v>
      </c>
      <c r="F8" s="2"/>
      <c r="G8" s="15" t="s">
        <v>40</v>
      </c>
      <c r="H8" s="18" t="str">
        <f t="shared" ca="1" si="3"/>
        <v>W.XPIRED</v>
      </c>
      <c r="I8" s="2"/>
      <c r="J8" s="2"/>
      <c r="K8" s="2"/>
      <c r="L8" s="19"/>
    </row>
    <row r="9" spans="1:12" ht="14.25" customHeight="1">
      <c r="A9" s="6" t="s">
        <v>46</v>
      </c>
      <c r="B9" s="16">
        <v>41461</v>
      </c>
      <c r="C9" s="17">
        <f>EDATE(B9,24)</f>
        <v>42191</v>
      </c>
      <c r="D9" s="17">
        <f t="shared" si="1"/>
        <v>44018</v>
      </c>
      <c r="E9" s="6" t="str">
        <f t="shared" ca="1" si="2"/>
        <v>W.XPIRED</v>
      </c>
      <c r="F9" s="2"/>
      <c r="G9" s="2"/>
      <c r="H9" s="2"/>
      <c r="I9" s="2"/>
      <c r="J9" s="2"/>
      <c r="K9" s="2"/>
      <c r="L9" s="2"/>
    </row>
    <row r="10" spans="1:12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4.25" customHeight="1">
      <c r="A13" s="14" t="s">
        <v>47</v>
      </c>
      <c r="B13" s="14" t="s">
        <v>37</v>
      </c>
      <c r="C13" s="14" t="s">
        <v>38</v>
      </c>
      <c r="D13" s="14" t="s">
        <v>39</v>
      </c>
      <c r="E13" s="14" t="s">
        <v>40</v>
      </c>
      <c r="F13" s="2"/>
      <c r="G13" s="15" t="s">
        <v>48</v>
      </c>
      <c r="H13" s="6" t="s">
        <v>49</v>
      </c>
      <c r="I13" s="2"/>
      <c r="J13" s="2"/>
      <c r="K13" s="2"/>
      <c r="L13" s="2"/>
    </row>
    <row r="14" spans="1:12" ht="14.25" customHeight="1">
      <c r="A14" s="6" t="s">
        <v>50</v>
      </c>
      <c r="B14" s="16">
        <v>41031</v>
      </c>
      <c r="C14" s="17">
        <f t="shared" ref="C14:C16" si="4">EDATE(B14,1)</f>
        <v>41062</v>
      </c>
      <c r="D14" s="17">
        <f t="shared" ref="D14:D18" si="5">EDATE(C14,60)</f>
        <v>42888</v>
      </c>
      <c r="E14" s="6" t="str">
        <f t="shared" ref="E14:E18" ca="1" si="6">IF(D14&gt;TODAY(),"U.WARRANTY","W.XPIRED")</f>
        <v>W.XPIRED</v>
      </c>
      <c r="F14" s="2"/>
      <c r="G14" s="15" t="s">
        <v>37</v>
      </c>
      <c r="H14" s="18">
        <f t="shared" ref="H14:H17" si="7">VLOOKUP($H$13,$A$13:$E$18,ROW(B2),0)</f>
        <v>41033</v>
      </c>
      <c r="I14" s="2"/>
      <c r="J14" s="2"/>
      <c r="K14" s="2"/>
      <c r="L14" s="2"/>
    </row>
    <row r="15" spans="1:12" ht="14.25" customHeight="1">
      <c r="A15" s="6" t="s">
        <v>51</v>
      </c>
      <c r="B15" s="16">
        <v>41124</v>
      </c>
      <c r="C15" s="17">
        <f t="shared" si="4"/>
        <v>41155</v>
      </c>
      <c r="D15" s="17">
        <f t="shared" si="5"/>
        <v>42981</v>
      </c>
      <c r="E15" s="6" t="str">
        <f t="shared" ca="1" si="6"/>
        <v>W.XPIRED</v>
      </c>
      <c r="F15" s="2"/>
      <c r="G15" s="15" t="s">
        <v>38</v>
      </c>
      <c r="H15" s="18">
        <f t="shared" si="7"/>
        <v>41064</v>
      </c>
      <c r="I15" s="2"/>
      <c r="J15" s="2"/>
      <c r="K15" s="2"/>
      <c r="L15" s="2"/>
    </row>
    <row r="16" spans="1:12" ht="14.25" customHeight="1">
      <c r="A16" s="6" t="s">
        <v>49</v>
      </c>
      <c r="B16" s="16">
        <v>41033</v>
      </c>
      <c r="C16" s="17">
        <f t="shared" si="4"/>
        <v>41064</v>
      </c>
      <c r="D16" s="17">
        <f t="shared" si="5"/>
        <v>42890</v>
      </c>
      <c r="E16" s="6" t="str">
        <f t="shared" ca="1" si="6"/>
        <v>W.XPIRED</v>
      </c>
      <c r="F16" s="2"/>
      <c r="G16" s="15" t="s">
        <v>39</v>
      </c>
      <c r="H16" s="18">
        <f t="shared" si="7"/>
        <v>42890</v>
      </c>
      <c r="I16" s="2"/>
      <c r="J16" s="2"/>
      <c r="K16" s="2"/>
      <c r="L16" s="2"/>
    </row>
    <row r="17" spans="1:12" ht="14.25" customHeight="1">
      <c r="A17" s="6" t="s">
        <v>52</v>
      </c>
      <c r="B17" s="16">
        <v>41430</v>
      </c>
      <c r="C17" s="17">
        <f>EDATE(B17,12)</f>
        <v>41795</v>
      </c>
      <c r="D17" s="17">
        <f t="shared" si="5"/>
        <v>43621</v>
      </c>
      <c r="E17" s="6" t="str">
        <f t="shared" ca="1" si="6"/>
        <v>W.XPIRED</v>
      </c>
      <c r="F17" s="2"/>
      <c r="G17" s="15" t="s">
        <v>40</v>
      </c>
      <c r="H17" s="18" t="str">
        <f t="shared" ca="1" si="7"/>
        <v>W.XPIRED</v>
      </c>
      <c r="I17" s="2"/>
      <c r="J17" s="2"/>
      <c r="K17" s="2"/>
      <c r="L17" s="2"/>
    </row>
    <row r="18" spans="1:12" ht="14.25" customHeight="1">
      <c r="A18" s="6" t="s">
        <v>53</v>
      </c>
      <c r="B18" s="16">
        <v>41461</v>
      </c>
      <c r="C18" s="17">
        <f>EDATE(B18,24)</f>
        <v>42191</v>
      </c>
      <c r="D18" s="17">
        <f t="shared" si="5"/>
        <v>44018</v>
      </c>
      <c r="E18" s="6" t="str">
        <f t="shared" ca="1" si="6"/>
        <v>W.XPIRED</v>
      </c>
      <c r="F18" s="2"/>
      <c r="G18" s="2"/>
      <c r="H18" s="2"/>
      <c r="I18" s="2"/>
      <c r="J18" s="2"/>
      <c r="K18" s="2"/>
      <c r="L18" s="2"/>
    </row>
    <row r="19" spans="1:12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4.25" customHeight="1">
      <c r="A21" s="26" t="s">
        <v>54</v>
      </c>
      <c r="B21" s="27"/>
      <c r="C21" s="27"/>
      <c r="D21" s="27"/>
      <c r="E21" s="27"/>
      <c r="F21" s="27"/>
      <c r="G21" s="27"/>
      <c r="H21" s="28"/>
      <c r="I21" s="2"/>
      <c r="J21" s="2"/>
      <c r="K21" s="2"/>
      <c r="L21" s="2"/>
    </row>
    <row r="22" spans="1:1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4.25" customHeight="1">
      <c r="A23" s="14" t="s">
        <v>36</v>
      </c>
      <c r="B23" s="14" t="s">
        <v>37</v>
      </c>
      <c r="C23" s="14" t="s">
        <v>38</v>
      </c>
      <c r="D23" s="14" t="s">
        <v>39</v>
      </c>
      <c r="E23" s="14" t="s">
        <v>40</v>
      </c>
      <c r="F23" s="2"/>
      <c r="G23" s="15" t="s">
        <v>41</v>
      </c>
      <c r="H23" s="6" t="s">
        <v>55</v>
      </c>
      <c r="I23" s="2"/>
      <c r="J23" s="2"/>
      <c r="K23" s="2"/>
      <c r="L23" s="2"/>
    </row>
    <row r="24" spans="1:12" ht="14.25" customHeight="1">
      <c r="A24" s="6" t="s">
        <v>43</v>
      </c>
      <c r="B24" s="16">
        <v>41031</v>
      </c>
      <c r="C24" s="17">
        <f t="shared" ref="C24:C26" si="8">EDATE(B24,1)</f>
        <v>41062</v>
      </c>
      <c r="D24" s="17">
        <f t="shared" ref="D24:D28" si="9">EDATE(C24,60)</f>
        <v>42888</v>
      </c>
      <c r="E24" s="6" t="str">
        <f t="shared" ref="E24:E28" ca="1" si="10">IF(D24&gt;TODAY(),"U.WARRANTY","W.XPIRED")</f>
        <v>W.XPIRED</v>
      </c>
      <c r="F24" s="2"/>
      <c r="G24" s="15" t="s">
        <v>37</v>
      </c>
      <c r="H24" s="18" t="str">
        <f t="shared" ref="H24:H27" si="11">IFERROR(VLOOKUP($H$23,$A$23:$E$28,ROW(B2),0),"wrong input")</f>
        <v>wrong input</v>
      </c>
      <c r="I24" s="2"/>
      <c r="J24" s="2"/>
      <c r="K24" s="2"/>
      <c r="L24" s="2"/>
    </row>
    <row r="25" spans="1:12" ht="14.25" customHeight="1">
      <c r="A25" s="6" t="s">
        <v>42</v>
      </c>
      <c r="B25" s="16">
        <v>41124</v>
      </c>
      <c r="C25" s="17">
        <f t="shared" si="8"/>
        <v>41155</v>
      </c>
      <c r="D25" s="17">
        <f t="shared" si="9"/>
        <v>42981</v>
      </c>
      <c r="E25" s="6" t="str">
        <f t="shared" ca="1" si="10"/>
        <v>W.XPIRED</v>
      </c>
      <c r="F25" s="2"/>
      <c r="G25" s="15" t="s">
        <v>38</v>
      </c>
      <c r="H25" s="18" t="str">
        <f t="shared" si="11"/>
        <v>wrong input</v>
      </c>
      <c r="I25" s="2"/>
      <c r="J25" s="2"/>
      <c r="K25" s="2"/>
      <c r="L25" s="2"/>
    </row>
    <row r="26" spans="1:12" ht="14.25" customHeight="1">
      <c r="A26" s="6" t="s">
        <v>44</v>
      </c>
      <c r="B26" s="16">
        <v>41033</v>
      </c>
      <c r="C26" s="17">
        <f t="shared" si="8"/>
        <v>41064</v>
      </c>
      <c r="D26" s="17">
        <f t="shared" si="9"/>
        <v>42890</v>
      </c>
      <c r="E26" s="6" t="str">
        <f t="shared" ca="1" si="10"/>
        <v>W.XPIRED</v>
      </c>
      <c r="F26" s="2"/>
      <c r="G26" s="15" t="s">
        <v>39</v>
      </c>
      <c r="H26" s="18" t="str">
        <f t="shared" si="11"/>
        <v>wrong input</v>
      </c>
      <c r="I26" s="2"/>
      <c r="J26" s="2"/>
      <c r="K26" s="2"/>
      <c r="L26" s="2"/>
    </row>
    <row r="27" spans="1:12" ht="14.25" customHeight="1">
      <c r="A27" s="6" t="s">
        <v>45</v>
      </c>
      <c r="B27" s="16">
        <v>41430</v>
      </c>
      <c r="C27" s="17">
        <f>EDATE(B27,12)</f>
        <v>41795</v>
      </c>
      <c r="D27" s="17">
        <f t="shared" si="9"/>
        <v>43621</v>
      </c>
      <c r="E27" s="6" t="str">
        <f t="shared" ca="1" si="10"/>
        <v>W.XPIRED</v>
      </c>
      <c r="F27" s="2"/>
      <c r="G27" s="15" t="s">
        <v>40</v>
      </c>
      <c r="H27" s="18" t="str">
        <f t="shared" si="11"/>
        <v>wrong input</v>
      </c>
      <c r="I27" s="2"/>
      <c r="J27" s="2"/>
      <c r="K27" s="2"/>
      <c r="L27" s="2"/>
    </row>
    <row r="28" spans="1:12" ht="14.25" customHeight="1">
      <c r="A28" s="6" t="s">
        <v>46</v>
      </c>
      <c r="B28" s="16">
        <v>41461</v>
      </c>
      <c r="C28" s="17">
        <f>EDATE(B28,24)</f>
        <v>42191</v>
      </c>
      <c r="D28" s="17">
        <f t="shared" si="9"/>
        <v>44018</v>
      </c>
      <c r="E28" s="6" t="str">
        <f t="shared" ca="1" si="10"/>
        <v>W.XPIRED</v>
      </c>
      <c r="F28" s="2"/>
      <c r="G28" s="2"/>
      <c r="H28" s="2"/>
      <c r="I28" s="2"/>
      <c r="J28" s="2"/>
      <c r="K28" s="2"/>
      <c r="L28" s="2"/>
    </row>
    <row r="29" spans="1:12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4.25" customHeight="1">
      <c r="A32" s="14" t="s">
        <v>47</v>
      </c>
      <c r="B32" s="14" t="s">
        <v>37</v>
      </c>
      <c r="C32" s="14" t="s">
        <v>38</v>
      </c>
      <c r="D32" s="14" t="s">
        <v>39</v>
      </c>
      <c r="E32" s="14" t="s">
        <v>40</v>
      </c>
      <c r="F32" s="2"/>
      <c r="G32" s="15" t="s">
        <v>48</v>
      </c>
      <c r="H32" s="6"/>
      <c r="I32" s="2"/>
      <c r="J32" s="2"/>
      <c r="K32" s="2"/>
      <c r="L32" s="2"/>
    </row>
    <row r="33" spans="1:12" ht="14.25" customHeight="1">
      <c r="A33" s="6" t="s">
        <v>50</v>
      </c>
      <c r="B33" s="16">
        <v>41031</v>
      </c>
      <c r="C33" s="17">
        <f t="shared" ref="C33:C35" si="12">EDATE(B33,1)</f>
        <v>41062</v>
      </c>
      <c r="D33" s="17">
        <f t="shared" ref="D33:D37" si="13">EDATE(C33,60)</f>
        <v>42888</v>
      </c>
      <c r="E33" s="6" t="str">
        <f t="shared" ref="E33:E37" ca="1" si="14">IF(D33&gt;TODAY(),"U.WARRANTY","W.XPIRED")</f>
        <v>W.XPIRED</v>
      </c>
      <c r="F33" s="2"/>
      <c r="G33" s="15" t="s">
        <v>37</v>
      </c>
      <c r="H33" s="18"/>
      <c r="I33" s="2"/>
      <c r="J33" s="2"/>
      <c r="K33" s="2"/>
      <c r="L33" s="2"/>
    </row>
    <row r="34" spans="1:12" ht="14.25" customHeight="1">
      <c r="A34" s="6" t="s">
        <v>51</v>
      </c>
      <c r="B34" s="16">
        <v>41124</v>
      </c>
      <c r="C34" s="17">
        <f t="shared" si="12"/>
        <v>41155</v>
      </c>
      <c r="D34" s="17">
        <f t="shared" si="13"/>
        <v>42981</v>
      </c>
      <c r="E34" s="6" t="str">
        <f t="shared" ca="1" si="14"/>
        <v>W.XPIRED</v>
      </c>
      <c r="F34" s="2"/>
      <c r="G34" s="15" t="s">
        <v>38</v>
      </c>
      <c r="H34" s="18"/>
      <c r="I34" s="2"/>
      <c r="J34" s="2"/>
      <c r="K34" s="2"/>
      <c r="L34" s="2"/>
    </row>
    <row r="35" spans="1:12" ht="14.25" customHeight="1">
      <c r="A35" s="6" t="s">
        <v>49</v>
      </c>
      <c r="B35" s="16">
        <v>41033</v>
      </c>
      <c r="C35" s="17">
        <f t="shared" si="12"/>
        <v>41064</v>
      </c>
      <c r="D35" s="17">
        <f t="shared" si="13"/>
        <v>42890</v>
      </c>
      <c r="E35" s="6" t="str">
        <f t="shared" ca="1" si="14"/>
        <v>W.XPIRED</v>
      </c>
      <c r="F35" s="2"/>
      <c r="G35" s="15" t="s">
        <v>39</v>
      </c>
      <c r="H35" s="18"/>
      <c r="I35" s="2"/>
      <c r="J35" s="2"/>
      <c r="K35" s="2"/>
      <c r="L35" s="2"/>
    </row>
    <row r="36" spans="1:12" ht="14.25" customHeight="1">
      <c r="A36" s="6" t="s">
        <v>52</v>
      </c>
      <c r="B36" s="16">
        <v>41430</v>
      </c>
      <c r="C36" s="17">
        <f>EDATE(B36,12)</f>
        <v>41795</v>
      </c>
      <c r="D36" s="17">
        <f t="shared" si="13"/>
        <v>43621</v>
      </c>
      <c r="E36" s="6" t="str">
        <f t="shared" ca="1" si="14"/>
        <v>W.XPIRED</v>
      </c>
      <c r="F36" s="2"/>
      <c r="G36" s="15" t="s">
        <v>40</v>
      </c>
      <c r="H36" s="18"/>
      <c r="I36" s="2"/>
      <c r="J36" s="2"/>
      <c r="K36" s="2"/>
      <c r="L36" s="2"/>
    </row>
    <row r="37" spans="1:12" ht="14.25" customHeight="1">
      <c r="A37" s="6" t="s">
        <v>53</v>
      </c>
      <c r="B37" s="16">
        <v>41461</v>
      </c>
      <c r="C37" s="17">
        <f>EDATE(B37,24)</f>
        <v>42191</v>
      </c>
      <c r="D37" s="17">
        <f t="shared" si="13"/>
        <v>44018</v>
      </c>
      <c r="E37" s="6" t="str">
        <f t="shared" ca="1" si="14"/>
        <v>W.XPIRED</v>
      </c>
      <c r="F37" s="2"/>
      <c r="G37" s="2"/>
      <c r="H37" s="2"/>
      <c r="I37" s="2"/>
      <c r="J37" s="2"/>
      <c r="K37" s="2"/>
      <c r="L37" s="2"/>
    </row>
    <row r="38" spans="1:12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4.25" customHeight="1">
      <c r="A41" s="26" t="s">
        <v>56</v>
      </c>
      <c r="B41" s="27"/>
      <c r="C41" s="27"/>
      <c r="D41" s="27"/>
      <c r="E41" s="27"/>
      <c r="F41" s="27"/>
      <c r="G41" s="27"/>
      <c r="H41" s="27"/>
      <c r="I41" s="28"/>
      <c r="J41" s="2"/>
      <c r="K41" s="2"/>
      <c r="L41" s="2"/>
    </row>
    <row r="42" spans="1:1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4.25" customHeight="1">
      <c r="A43" s="20" t="s">
        <v>36</v>
      </c>
      <c r="B43" s="20" t="s">
        <v>47</v>
      </c>
      <c r="C43" s="20" t="s">
        <v>37</v>
      </c>
      <c r="D43" s="20" t="s">
        <v>38</v>
      </c>
      <c r="E43" s="20" t="s">
        <v>39</v>
      </c>
      <c r="F43" s="20" t="s">
        <v>40</v>
      </c>
      <c r="G43" s="21"/>
      <c r="H43" s="22" t="s">
        <v>57</v>
      </c>
      <c r="I43" s="13" t="s">
        <v>55</v>
      </c>
      <c r="J43" s="21"/>
      <c r="K43" s="21"/>
      <c r="L43" s="21"/>
    </row>
    <row r="44" spans="1:12" ht="14.25" customHeight="1">
      <c r="A44" s="6" t="s">
        <v>43</v>
      </c>
      <c r="B44" s="6" t="s">
        <v>50</v>
      </c>
      <c r="C44" s="16">
        <v>41031</v>
      </c>
      <c r="D44" s="17">
        <f t="shared" ref="D44:D46" si="15">EDATE(C44,1)</f>
        <v>41062</v>
      </c>
      <c r="E44" s="17">
        <f t="shared" ref="E44:E48" si="16">EDATE(D44,60)</f>
        <v>42888</v>
      </c>
      <c r="F44" s="6" t="str">
        <f t="shared" ref="F44:F48" ca="1" si="17">IF(E44&gt;TODAY(),"U.WARRANTY","W.XPIRED")</f>
        <v>W.XPIRED</v>
      </c>
      <c r="G44" s="2"/>
      <c r="H44" s="15" t="s">
        <v>37</v>
      </c>
      <c r="I44" s="18" t="str">
        <f t="shared" ref="I44:I47" si="18">IFERROR(VLOOKUP($I$43,$A$43:$F$48,ROW(B3),0),IFERROR(VLOOKUP($I$43,$B$43:$F$48,ROW(B2),0),"wrong input"))</f>
        <v>wrong input</v>
      </c>
      <c r="J44" s="2"/>
      <c r="K44" s="2"/>
      <c r="L44" s="2"/>
    </row>
    <row r="45" spans="1:12" ht="14.25" customHeight="1">
      <c r="A45" s="6" t="s">
        <v>42</v>
      </c>
      <c r="B45" s="6" t="s">
        <v>51</v>
      </c>
      <c r="C45" s="16">
        <v>41124</v>
      </c>
      <c r="D45" s="17">
        <f t="shared" si="15"/>
        <v>41155</v>
      </c>
      <c r="E45" s="17">
        <f t="shared" si="16"/>
        <v>42981</v>
      </c>
      <c r="F45" s="6" t="str">
        <f t="shared" ca="1" si="17"/>
        <v>W.XPIRED</v>
      </c>
      <c r="G45" s="2"/>
      <c r="H45" s="15" t="s">
        <v>38</v>
      </c>
      <c r="I45" s="18" t="str">
        <f t="shared" si="18"/>
        <v>wrong input</v>
      </c>
      <c r="J45" s="2"/>
      <c r="K45" s="2"/>
      <c r="L45" s="2"/>
    </row>
    <row r="46" spans="1:12" ht="14.25" customHeight="1">
      <c r="A46" s="6" t="s">
        <v>44</v>
      </c>
      <c r="B46" s="6" t="s">
        <v>49</v>
      </c>
      <c r="C46" s="16">
        <v>41033</v>
      </c>
      <c r="D46" s="17">
        <f t="shared" si="15"/>
        <v>41064</v>
      </c>
      <c r="E46" s="17">
        <f t="shared" si="16"/>
        <v>42890</v>
      </c>
      <c r="F46" s="6" t="str">
        <f t="shared" ca="1" si="17"/>
        <v>W.XPIRED</v>
      </c>
      <c r="G46" s="2"/>
      <c r="H46" s="15" t="s">
        <v>39</v>
      </c>
      <c r="I46" s="18" t="str">
        <f t="shared" si="18"/>
        <v>wrong input</v>
      </c>
      <c r="J46" s="2"/>
      <c r="K46" s="2"/>
      <c r="L46" s="2"/>
    </row>
    <row r="47" spans="1:12" ht="14.25" customHeight="1">
      <c r="A47" s="6" t="s">
        <v>45</v>
      </c>
      <c r="B47" s="6" t="s">
        <v>52</v>
      </c>
      <c r="C47" s="16">
        <v>41430</v>
      </c>
      <c r="D47" s="17">
        <f>EDATE(C47,12)</f>
        <v>41795</v>
      </c>
      <c r="E47" s="17">
        <f t="shared" si="16"/>
        <v>43621</v>
      </c>
      <c r="F47" s="6" t="str">
        <f t="shared" ca="1" si="17"/>
        <v>W.XPIRED</v>
      </c>
      <c r="G47" s="2"/>
      <c r="H47" s="15" t="s">
        <v>40</v>
      </c>
      <c r="I47" s="18" t="str">
        <f t="shared" si="18"/>
        <v>wrong input</v>
      </c>
      <c r="J47" s="2"/>
      <c r="K47" s="2"/>
      <c r="L47" s="2"/>
    </row>
    <row r="48" spans="1:12" ht="14.25" customHeight="1">
      <c r="A48" s="6" t="s">
        <v>46</v>
      </c>
      <c r="B48" s="6" t="s">
        <v>53</v>
      </c>
      <c r="C48" s="16">
        <v>41461</v>
      </c>
      <c r="D48" s="17">
        <f>EDATE(C48,24)</f>
        <v>42191</v>
      </c>
      <c r="E48" s="17">
        <f t="shared" si="16"/>
        <v>44018</v>
      </c>
      <c r="F48" s="6" t="str">
        <f t="shared" ca="1" si="17"/>
        <v>W.XPIRED</v>
      </c>
      <c r="G48" s="2"/>
      <c r="H48" s="2"/>
      <c r="I48" s="2"/>
      <c r="J48" s="2"/>
      <c r="K48" s="2"/>
      <c r="L48" s="2"/>
    </row>
    <row r="49" spans="1:12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</sheetData>
  <mergeCells count="3">
    <mergeCell ref="A21:H21"/>
    <mergeCell ref="A2:H2"/>
    <mergeCell ref="A41:I41"/>
  </mergeCells>
  <dataValidations count="2">
    <dataValidation type="list" allowBlank="1" showErrorMessage="1" sqref="H4" xr:uid="{00000000-0002-0000-0300-000000000000}">
      <formula1>$A$5:$A$9</formula1>
    </dataValidation>
    <dataValidation type="list" allowBlank="1" showErrorMessage="1" sqref="H13" xr:uid="{00000000-0002-0000-0300-000001000000}">
      <formula1>$A$14:$A$18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2.625" defaultRowHeight="15" customHeight="1"/>
  <cols>
    <col min="1" max="2" width="7.875" customWidth="1"/>
    <col min="3" max="3" width="11.75" customWidth="1"/>
    <col min="4" max="4" width="2.375" customWidth="1"/>
    <col min="5" max="5" width="1.875" customWidth="1"/>
    <col min="6" max="6" width="12.75" customWidth="1"/>
    <col min="7" max="7" width="13.125" customWidth="1"/>
    <col min="8" max="8" width="3.875" customWidth="1"/>
    <col min="9" max="11" width="9" customWidth="1"/>
  </cols>
  <sheetData>
    <row r="1" spans="1:11" ht="14.25" customHeight="1">
      <c r="A1" s="14" t="s">
        <v>58</v>
      </c>
      <c r="B1" s="14" t="s">
        <v>59</v>
      </c>
      <c r="C1" s="2"/>
      <c r="D1" s="2"/>
      <c r="E1" s="2"/>
      <c r="F1" s="15" t="s">
        <v>60</v>
      </c>
      <c r="G1" s="23">
        <v>1003</v>
      </c>
      <c r="H1" s="2"/>
      <c r="I1" s="2"/>
      <c r="J1" s="2"/>
      <c r="K1" s="2"/>
    </row>
    <row r="2" spans="1:11" ht="14.25" customHeight="1">
      <c r="A2" s="6">
        <v>1001</v>
      </c>
      <c r="B2" s="6" t="s">
        <v>61</v>
      </c>
      <c r="C2" s="2"/>
      <c r="D2" s="2"/>
      <c r="E2" s="2"/>
      <c r="F2" s="15" t="s">
        <v>59</v>
      </c>
      <c r="G2" s="23" t="str">
        <f>VLOOKUP($G$1,$A$1:$B$6,2,0)</f>
        <v>R-100003</v>
      </c>
      <c r="H2" s="2"/>
      <c r="I2" s="2"/>
      <c r="J2" s="2"/>
      <c r="K2" s="2"/>
    </row>
    <row r="3" spans="1:11" ht="14.25" customHeight="1">
      <c r="A3" s="6">
        <v>1002</v>
      </c>
      <c r="B3" s="6" t="s">
        <v>62</v>
      </c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>
      <c r="A4" s="6">
        <v>1003</v>
      </c>
      <c r="B4" s="6" t="s">
        <v>63</v>
      </c>
      <c r="C4" s="2"/>
      <c r="D4" s="2"/>
      <c r="E4" s="2"/>
      <c r="F4" s="2"/>
      <c r="G4" s="2"/>
      <c r="H4" s="2"/>
      <c r="I4" s="2"/>
      <c r="J4" s="2"/>
      <c r="K4" s="2"/>
    </row>
    <row r="5" spans="1:11" ht="14.25" customHeight="1">
      <c r="A5" s="6">
        <v>1004</v>
      </c>
      <c r="B5" s="6" t="s">
        <v>64</v>
      </c>
      <c r="C5" s="2"/>
      <c r="D5" s="2"/>
      <c r="E5" s="2"/>
      <c r="F5" s="2"/>
      <c r="G5" s="2"/>
      <c r="H5" s="2"/>
      <c r="I5" s="2"/>
      <c r="J5" s="2"/>
      <c r="K5" s="2"/>
    </row>
    <row r="6" spans="1:11" ht="14.25" customHeight="1">
      <c r="A6" s="6">
        <v>1005</v>
      </c>
      <c r="B6" s="6" t="s">
        <v>65</v>
      </c>
      <c r="C6" s="2"/>
      <c r="D6" s="2"/>
      <c r="E6" s="2"/>
      <c r="F6" s="2"/>
      <c r="G6" s="2"/>
      <c r="H6" s="2"/>
      <c r="I6" s="2"/>
      <c r="J6" s="2"/>
      <c r="K6" s="2"/>
    </row>
    <row r="7" spans="1:11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4.25" customHeight="1">
      <c r="A9" s="11" t="s">
        <v>59</v>
      </c>
      <c r="B9" s="11" t="s">
        <v>66</v>
      </c>
      <c r="C9" s="11" t="s">
        <v>67</v>
      </c>
      <c r="D9" s="2"/>
      <c r="E9" s="2"/>
      <c r="F9" s="15" t="s">
        <v>59</v>
      </c>
      <c r="G9" s="22" t="s">
        <v>68</v>
      </c>
      <c r="H9" s="2"/>
      <c r="I9" s="2"/>
      <c r="J9" s="2"/>
      <c r="K9" s="2"/>
    </row>
    <row r="10" spans="1:11" ht="14.25" customHeight="1">
      <c r="A10" s="6" t="s">
        <v>61</v>
      </c>
      <c r="B10" s="6" t="s">
        <v>69</v>
      </c>
      <c r="C10" s="6" t="s">
        <v>70</v>
      </c>
      <c r="D10" s="2"/>
      <c r="E10" s="2"/>
      <c r="F10" s="15" t="s">
        <v>66</v>
      </c>
      <c r="G10" s="15" t="str">
        <f t="shared" ref="G10:G11" si="0">VLOOKUP($G$9,$A$9:$C$14,ROW(B2),0)</f>
        <v>RAJESH</v>
      </c>
      <c r="H10" s="2"/>
      <c r="I10" s="2"/>
      <c r="J10" s="2"/>
      <c r="K10" s="2"/>
    </row>
    <row r="11" spans="1:11" ht="14.25" customHeight="1">
      <c r="A11" s="6" t="s">
        <v>62</v>
      </c>
      <c r="B11" s="6" t="s">
        <v>71</v>
      </c>
      <c r="C11" s="6" t="s">
        <v>72</v>
      </c>
      <c r="D11" s="2"/>
      <c r="E11" s="2"/>
      <c r="F11" s="15" t="s">
        <v>67</v>
      </c>
      <c r="G11" s="15" t="str">
        <f t="shared" si="0"/>
        <v>JIVAN SARAL</v>
      </c>
      <c r="H11" s="2"/>
      <c r="I11" s="2"/>
      <c r="J11" s="2"/>
      <c r="K11" s="2"/>
    </row>
    <row r="12" spans="1:11" ht="14.25" customHeight="1">
      <c r="A12" s="6" t="s">
        <v>63</v>
      </c>
      <c r="B12" s="6" t="s">
        <v>73</v>
      </c>
      <c r="C12" s="6" t="s">
        <v>74</v>
      </c>
      <c r="D12" s="2"/>
      <c r="E12" s="2"/>
      <c r="F12" s="2"/>
      <c r="G12" s="2"/>
      <c r="H12" s="2"/>
      <c r="I12" s="2"/>
      <c r="J12" s="2"/>
      <c r="K12" s="2"/>
    </row>
    <row r="13" spans="1:11" ht="14.25" customHeight="1">
      <c r="A13" s="6" t="s">
        <v>64</v>
      </c>
      <c r="B13" s="6" t="s">
        <v>75</v>
      </c>
      <c r="C13" s="6" t="s">
        <v>76</v>
      </c>
      <c r="D13" s="2"/>
      <c r="E13" s="2"/>
      <c r="F13" s="2"/>
      <c r="G13" s="2"/>
      <c r="H13" s="2"/>
      <c r="I13" s="2"/>
      <c r="J13" s="2"/>
      <c r="K13" s="2"/>
    </row>
    <row r="14" spans="1:11" ht="14.25" customHeight="1">
      <c r="A14" s="6" t="s">
        <v>65</v>
      </c>
      <c r="B14" s="6" t="s">
        <v>77</v>
      </c>
      <c r="C14" s="6" t="s">
        <v>78</v>
      </c>
      <c r="D14" s="2"/>
      <c r="E14" s="2"/>
      <c r="F14" s="2"/>
      <c r="G14" s="2"/>
      <c r="H14" s="2"/>
      <c r="I14" s="2"/>
      <c r="J14" s="2"/>
      <c r="K14" s="2"/>
    </row>
    <row r="15" spans="1:11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11" t="s">
        <v>59</v>
      </c>
      <c r="B18" s="11" t="s">
        <v>66</v>
      </c>
      <c r="C18" s="11" t="s">
        <v>67</v>
      </c>
      <c r="D18" s="2"/>
      <c r="E18" s="2"/>
      <c r="F18" s="15" t="s">
        <v>60</v>
      </c>
      <c r="G18" s="23">
        <v>1005</v>
      </c>
      <c r="H18" s="2"/>
      <c r="I18" s="14" t="s">
        <v>58</v>
      </c>
      <c r="J18" s="14" t="s">
        <v>59</v>
      </c>
      <c r="K18" s="2"/>
    </row>
    <row r="19" spans="1:11" ht="14.25" customHeight="1">
      <c r="A19" s="6" t="s">
        <v>61</v>
      </c>
      <c r="B19" s="6" t="s">
        <v>69</v>
      </c>
      <c r="C19" s="6" t="s">
        <v>70</v>
      </c>
      <c r="D19" s="2"/>
      <c r="E19" s="2"/>
      <c r="F19" s="15" t="s">
        <v>66</v>
      </c>
      <c r="G19" s="24" t="str">
        <f t="shared" ref="G19:G20" si="1">VLOOKUP(VLOOKUP($G$18,$I$18:$J$23,2,0),$A$18:$C$23,ROW(B2),0)</f>
        <v>ANIL</v>
      </c>
      <c r="H19" s="2"/>
      <c r="I19" s="6">
        <v>1001</v>
      </c>
      <c r="J19" s="6" t="s">
        <v>61</v>
      </c>
      <c r="K19" s="2"/>
    </row>
    <row r="20" spans="1:11" ht="14.25" customHeight="1">
      <c r="A20" s="6" t="s">
        <v>62</v>
      </c>
      <c r="B20" s="6" t="s">
        <v>71</v>
      </c>
      <c r="C20" s="6" t="s">
        <v>72</v>
      </c>
      <c r="D20" s="2"/>
      <c r="E20" s="2"/>
      <c r="F20" s="15" t="s">
        <v>67</v>
      </c>
      <c r="G20" s="24" t="str">
        <f t="shared" si="1"/>
        <v>JIVANSATHI</v>
      </c>
      <c r="H20" s="2"/>
      <c r="I20" s="6">
        <v>1002</v>
      </c>
      <c r="J20" s="6" t="s">
        <v>62</v>
      </c>
      <c r="K20" s="2"/>
    </row>
    <row r="21" spans="1:11" ht="14.25" customHeight="1">
      <c r="A21" s="6" t="s">
        <v>63</v>
      </c>
      <c r="B21" s="6" t="s">
        <v>73</v>
      </c>
      <c r="C21" s="6" t="s">
        <v>74</v>
      </c>
      <c r="D21" s="2"/>
      <c r="E21" s="2"/>
      <c r="F21" s="2"/>
      <c r="G21" s="2"/>
      <c r="H21" s="2"/>
      <c r="I21" s="6">
        <v>1003</v>
      </c>
      <c r="J21" s="6" t="s">
        <v>63</v>
      </c>
      <c r="K21" s="2"/>
    </row>
    <row r="22" spans="1:11" ht="14.25" customHeight="1">
      <c r="A22" s="6" t="s">
        <v>64</v>
      </c>
      <c r="B22" s="6" t="s">
        <v>75</v>
      </c>
      <c r="C22" s="6" t="s">
        <v>76</v>
      </c>
      <c r="D22" s="2"/>
      <c r="E22" s="2"/>
      <c r="F22" s="2"/>
      <c r="G22" s="2"/>
      <c r="H22" s="2"/>
      <c r="I22" s="6">
        <v>1004</v>
      </c>
      <c r="J22" s="6" t="s">
        <v>64</v>
      </c>
      <c r="K22" s="2"/>
    </row>
    <row r="23" spans="1:11" ht="14.25" customHeight="1">
      <c r="A23" s="6" t="s">
        <v>65</v>
      </c>
      <c r="B23" s="6" t="s">
        <v>77</v>
      </c>
      <c r="C23" s="6" t="s">
        <v>78</v>
      </c>
      <c r="D23" s="2"/>
      <c r="E23" s="2"/>
      <c r="F23" s="2"/>
      <c r="G23" s="2"/>
      <c r="H23" s="2"/>
      <c r="I23" s="6">
        <v>1005</v>
      </c>
      <c r="J23" s="6" t="s">
        <v>65</v>
      </c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workbookViewId="0"/>
  </sheetViews>
  <sheetFormatPr defaultColWidth="12.625" defaultRowHeight="15" customHeight="1"/>
  <cols>
    <col min="1" max="1" width="5.625" customWidth="1"/>
    <col min="2" max="2" width="9.375" customWidth="1"/>
    <col min="3" max="3" width="9.5" customWidth="1"/>
    <col min="4" max="4" width="9" customWidth="1"/>
    <col min="5" max="5" width="8" customWidth="1"/>
    <col min="6" max="6" width="9" customWidth="1"/>
    <col min="7" max="7" width="9.625" customWidth="1"/>
    <col min="8" max="8" width="9.5" customWidth="1"/>
    <col min="9" max="9" width="9" customWidth="1"/>
    <col min="10" max="10" width="8" customWidth="1"/>
    <col min="11" max="12" width="9" customWidth="1"/>
    <col min="13" max="13" width="9.625" customWidth="1"/>
  </cols>
  <sheetData>
    <row r="1" spans="1:13" ht="14.25" customHeight="1">
      <c r="A1" s="11" t="s">
        <v>14</v>
      </c>
      <c r="B1" s="11" t="s">
        <v>79</v>
      </c>
      <c r="C1" s="11" t="s">
        <v>80</v>
      </c>
      <c r="D1" s="2"/>
      <c r="E1" s="25" t="s">
        <v>14</v>
      </c>
      <c r="F1" s="11" t="s">
        <v>14</v>
      </c>
      <c r="G1" s="11" t="s">
        <v>79</v>
      </c>
      <c r="H1" s="11" t="s">
        <v>80</v>
      </c>
      <c r="I1" s="2"/>
      <c r="J1" s="25" t="s">
        <v>14</v>
      </c>
      <c r="K1" s="11" t="s">
        <v>14</v>
      </c>
      <c r="L1" s="11" t="s">
        <v>79</v>
      </c>
      <c r="M1" s="11" t="s">
        <v>80</v>
      </c>
    </row>
    <row r="2" spans="1:13" ht="14.25" customHeight="1">
      <c r="A2" s="6">
        <v>1</v>
      </c>
      <c r="B2" s="6" t="s">
        <v>81</v>
      </c>
      <c r="C2" s="6" t="s">
        <v>82</v>
      </c>
      <c r="D2" s="2"/>
      <c r="E2" s="2">
        <f t="shared" ref="E2:E10" si="0">IF(C2="Completed",A2,"")</f>
        <v>1</v>
      </c>
      <c r="F2" s="6">
        <f t="shared" ref="F2:F10" si="1">IFERROR(SMALL($E$2:$E$10,ROW(B1)),"")</f>
        <v>1</v>
      </c>
      <c r="G2" s="6" t="str">
        <f t="shared" ref="G2:H2" si="2">IFERROR(VLOOKUP($F2,$A$1:$C$10,COLUMN(B2),0),"")</f>
        <v>Off Loading</v>
      </c>
      <c r="H2" s="6" t="str">
        <f t="shared" si="2"/>
        <v>Completed</v>
      </c>
      <c r="I2" s="2"/>
      <c r="J2" s="2" t="str">
        <f t="shared" ref="J2:J10" si="3">IF(C2="INCOMPLETE",A2,"")</f>
        <v/>
      </c>
      <c r="K2" s="6">
        <f t="shared" ref="K2:K10" si="4">IFERROR(SMALL($J$2:$J$10,ROW()-1),"")</f>
        <v>3</v>
      </c>
      <c r="L2" s="6" t="str">
        <f t="shared" ref="L2:L10" si="5">IFERROR(VLOOKUP(K2,VLOOKUP_LIST6,2,0),"")</f>
        <v/>
      </c>
      <c r="M2" s="6" t="str">
        <f t="shared" ref="M2:M10" si="6">IFERROR(VLOOKUP(K2,VLOOKUP_LIST6,3,0),"")</f>
        <v/>
      </c>
    </row>
    <row r="3" spans="1:13" ht="14.25" customHeight="1">
      <c r="A3" s="6">
        <v>2</v>
      </c>
      <c r="B3" s="6" t="s">
        <v>83</v>
      </c>
      <c r="C3" s="6" t="s">
        <v>82</v>
      </c>
      <c r="D3" s="2"/>
      <c r="E3" s="2">
        <f t="shared" si="0"/>
        <v>2</v>
      </c>
      <c r="F3" s="6">
        <f t="shared" si="1"/>
        <v>2</v>
      </c>
      <c r="G3" s="6" t="str">
        <f t="shared" ref="G3:H3" si="7">IFERROR(VLOOKUP($F3,$A$1:$C$10,COLUMN(B3),0),"")</f>
        <v>Cleaning</v>
      </c>
      <c r="H3" s="6" t="str">
        <f t="shared" si="7"/>
        <v>Completed</v>
      </c>
      <c r="I3" s="2"/>
      <c r="J3" s="2" t="str">
        <f t="shared" si="3"/>
        <v/>
      </c>
      <c r="K3" s="6">
        <f t="shared" si="4"/>
        <v>5</v>
      </c>
      <c r="L3" s="6" t="str">
        <f t="shared" si="5"/>
        <v/>
      </c>
      <c r="M3" s="6" t="str">
        <f t="shared" si="6"/>
        <v/>
      </c>
    </row>
    <row r="4" spans="1:13" ht="14.25" customHeight="1">
      <c r="A4" s="6">
        <v>3</v>
      </c>
      <c r="B4" s="6" t="s">
        <v>84</v>
      </c>
      <c r="C4" s="6" t="s">
        <v>85</v>
      </c>
      <c r="D4" s="2"/>
      <c r="E4" s="2" t="str">
        <f t="shared" si="0"/>
        <v/>
      </c>
      <c r="F4" s="6">
        <f t="shared" si="1"/>
        <v>4</v>
      </c>
      <c r="G4" s="6" t="str">
        <f t="shared" ref="G4:H4" si="8">IFERROR(VLOOKUP($F4,$A$1:$C$10,COLUMN(B4),0),"")</f>
        <v>BRS</v>
      </c>
      <c r="H4" s="6" t="str">
        <f t="shared" si="8"/>
        <v>Completed</v>
      </c>
      <c r="I4" s="2"/>
      <c r="J4" s="2">
        <f t="shared" si="3"/>
        <v>3</v>
      </c>
      <c r="K4" s="6">
        <f t="shared" si="4"/>
        <v>7</v>
      </c>
      <c r="L4" s="6" t="str">
        <f t="shared" si="5"/>
        <v/>
      </c>
      <c r="M4" s="6" t="str">
        <f t="shared" si="6"/>
        <v/>
      </c>
    </row>
    <row r="5" spans="1:13" ht="14.25" customHeight="1">
      <c r="A5" s="6">
        <v>4</v>
      </c>
      <c r="B5" s="6" t="s">
        <v>86</v>
      </c>
      <c r="C5" s="6" t="s">
        <v>82</v>
      </c>
      <c r="D5" s="2"/>
      <c r="E5" s="2">
        <f t="shared" si="0"/>
        <v>4</v>
      </c>
      <c r="F5" s="6">
        <f t="shared" si="1"/>
        <v>6</v>
      </c>
      <c r="G5" s="6" t="str">
        <f t="shared" ref="G5:H5" si="9">IFERROR(VLOOKUP($F5,$A$1:$C$10,COLUMN(B5),0),"")</f>
        <v>Boarding</v>
      </c>
      <c r="H5" s="6" t="str">
        <f t="shared" si="9"/>
        <v>Completed</v>
      </c>
      <c r="I5" s="2"/>
      <c r="J5" s="2" t="str">
        <f t="shared" si="3"/>
        <v/>
      </c>
      <c r="K5" s="6" t="str">
        <f t="shared" si="4"/>
        <v/>
      </c>
      <c r="L5" s="6" t="str">
        <f t="shared" si="5"/>
        <v/>
      </c>
      <c r="M5" s="6" t="str">
        <f t="shared" si="6"/>
        <v/>
      </c>
    </row>
    <row r="6" spans="1:13" ht="14.25" customHeight="1">
      <c r="A6" s="6">
        <v>5</v>
      </c>
      <c r="B6" s="6" t="s">
        <v>87</v>
      </c>
      <c r="C6" s="6" t="s">
        <v>85</v>
      </c>
      <c r="D6" s="2"/>
      <c r="E6" s="2" t="str">
        <f t="shared" si="0"/>
        <v/>
      </c>
      <c r="F6" s="6">
        <f t="shared" si="1"/>
        <v>8</v>
      </c>
      <c r="G6" s="6" t="str">
        <f t="shared" ref="G6:H6" si="10">IFERROR(VLOOKUP($F6,$A$1:$C$10,COLUMN(B6),0),"")</f>
        <v>Catering</v>
      </c>
      <c r="H6" s="6" t="str">
        <f t="shared" si="10"/>
        <v>Completed</v>
      </c>
      <c r="I6" s="2"/>
      <c r="J6" s="2">
        <f t="shared" si="3"/>
        <v>5</v>
      </c>
      <c r="K6" s="6" t="str">
        <f t="shared" si="4"/>
        <v/>
      </c>
      <c r="L6" s="6" t="str">
        <f t="shared" si="5"/>
        <v/>
      </c>
      <c r="M6" s="6" t="str">
        <f t="shared" si="6"/>
        <v/>
      </c>
    </row>
    <row r="7" spans="1:13" ht="14.25" customHeight="1">
      <c r="A7" s="6">
        <v>6</v>
      </c>
      <c r="B7" s="6" t="s">
        <v>88</v>
      </c>
      <c r="C7" s="6" t="s">
        <v>82</v>
      </c>
      <c r="D7" s="2"/>
      <c r="E7" s="2">
        <f t="shared" si="0"/>
        <v>6</v>
      </c>
      <c r="F7" s="6">
        <f t="shared" si="1"/>
        <v>9</v>
      </c>
      <c r="G7" s="6" t="str">
        <f t="shared" ref="G7:H7" si="11">IFERROR(VLOOKUP($F7,$A$1:$C$10,COLUMN(B7),0),"")</f>
        <v>Loading</v>
      </c>
      <c r="H7" s="6" t="str">
        <f t="shared" si="11"/>
        <v>Completed</v>
      </c>
      <c r="I7" s="2"/>
      <c r="J7" s="2" t="str">
        <f t="shared" si="3"/>
        <v/>
      </c>
      <c r="K7" s="6" t="str">
        <f t="shared" si="4"/>
        <v/>
      </c>
      <c r="L7" s="6" t="str">
        <f t="shared" si="5"/>
        <v/>
      </c>
      <c r="M7" s="6" t="str">
        <f t="shared" si="6"/>
        <v/>
      </c>
    </row>
    <row r="8" spans="1:13" ht="14.25" customHeight="1">
      <c r="A8" s="6">
        <v>7</v>
      </c>
      <c r="B8" s="6" t="s">
        <v>10</v>
      </c>
      <c r="C8" s="6" t="s">
        <v>85</v>
      </c>
      <c r="D8" s="2"/>
      <c r="E8" s="2" t="str">
        <f t="shared" si="0"/>
        <v/>
      </c>
      <c r="F8" s="6" t="str">
        <f t="shared" si="1"/>
        <v/>
      </c>
      <c r="G8" s="6" t="str">
        <f t="shared" ref="G8:H8" si="12">IFERROR(VLOOKUP($F8,$A$1:$C$10,COLUMN(B8),0),"")</f>
        <v/>
      </c>
      <c r="H8" s="6" t="str">
        <f t="shared" si="12"/>
        <v/>
      </c>
      <c r="I8" s="2"/>
      <c r="J8" s="2">
        <f t="shared" si="3"/>
        <v>7</v>
      </c>
      <c r="K8" s="6" t="str">
        <f t="shared" si="4"/>
        <v/>
      </c>
      <c r="L8" s="6" t="str">
        <f t="shared" si="5"/>
        <v/>
      </c>
      <c r="M8" s="6" t="str">
        <f t="shared" si="6"/>
        <v/>
      </c>
    </row>
    <row r="9" spans="1:13" ht="14.25" customHeight="1">
      <c r="A9" s="6">
        <v>8</v>
      </c>
      <c r="B9" s="6" t="s">
        <v>89</v>
      </c>
      <c r="C9" s="6" t="s">
        <v>82</v>
      </c>
      <c r="D9" s="2"/>
      <c r="E9" s="2">
        <f t="shared" si="0"/>
        <v>8</v>
      </c>
      <c r="F9" s="6" t="str">
        <f t="shared" si="1"/>
        <v/>
      </c>
      <c r="G9" s="6" t="str">
        <f t="shared" ref="G9:H9" si="13">IFERROR(VLOOKUP($F9,$A$1:$C$10,COLUMN(B9),0),"")</f>
        <v/>
      </c>
      <c r="H9" s="6" t="str">
        <f t="shared" si="13"/>
        <v/>
      </c>
      <c r="I9" s="2"/>
      <c r="J9" s="2" t="str">
        <f t="shared" si="3"/>
        <v/>
      </c>
      <c r="K9" s="6" t="str">
        <f t="shared" si="4"/>
        <v/>
      </c>
      <c r="L9" s="6" t="str">
        <f t="shared" si="5"/>
        <v/>
      </c>
      <c r="M9" s="6" t="str">
        <f t="shared" si="6"/>
        <v/>
      </c>
    </row>
    <row r="10" spans="1:13" ht="14.25" customHeight="1">
      <c r="A10" s="6">
        <v>9</v>
      </c>
      <c r="B10" s="6" t="s">
        <v>90</v>
      </c>
      <c r="C10" s="6" t="s">
        <v>82</v>
      </c>
      <c r="D10" s="2"/>
      <c r="E10" s="2">
        <f t="shared" si="0"/>
        <v>9</v>
      </c>
      <c r="F10" s="6" t="str">
        <f t="shared" si="1"/>
        <v/>
      </c>
      <c r="G10" s="6" t="str">
        <f t="shared" ref="G10:H10" si="14">IFERROR(VLOOKUP($F10,$A$1:$C$10,COLUMN(B10),0),"")</f>
        <v/>
      </c>
      <c r="H10" s="6" t="str">
        <f t="shared" si="14"/>
        <v/>
      </c>
      <c r="I10" s="2"/>
      <c r="J10" s="2" t="str">
        <f t="shared" si="3"/>
        <v/>
      </c>
      <c r="K10" s="6" t="str">
        <f t="shared" si="4"/>
        <v/>
      </c>
      <c r="L10" s="6" t="str">
        <f t="shared" si="5"/>
        <v/>
      </c>
      <c r="M10" s="6" t="str">
        <f t="shared" si="6"/>
        <v/>
      </c>
    </row>
    <row r="11" spans="1:13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workbookViewId="0"/>
  </sheetViews>
  <sheetFormatPr defaultColWidth="12.625" defaultRowHeight="15" customHeight="1"/>
  <cols>
    <col min="1" max="1" width="5.625" customWidth="1"/>
    <col min="2" max="2" width="38" customWidth="1"/>
    <col min="3" max="3" width="17.125" customWidth="1"/>
    <col min="4" max="11" width="9" customWidth="1"/>
  </cols>
  <sheetData>
    <row r="1" spans="1:11" ht="14.25" customHeight="1">
      <c r="A1" s="11" t="s">
        <v>14</v>
      </c>
      <c r="B1" s="11" t="s">
        <v>91</v>
      </c>
      <c r="C1" s="11" t="s">
        <v>92</v>
      </c>
      <c r="D1" s="2"/>
      <c r="E1" s="2"/>
      <c r="F1" s="2"/>
      <c r="G1" s="2"/>
      <c r="H1" s="2"/>
      <c r="I1" s="2"/>
      <c r="J1" s="2"/>
      <c r="K1" s="2"/>
    </row>
    <row r="2" spans="1:11" ht="14.25" customHeight="1">
      <c r="A2" s="6">
        <v>1</v>
      </c>
      <c r="B2" s="1" t="s">
        <v>93</v>
      </c>
      <c r="C2" s="1" t="s">
        <v>94</v>
      </c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6">
        <v>2</v>
      </c>
      <c r="B3" s="1" t="s">
        <v>95</v>
      </c>
      <c r="C3" s="6"/>
      <c r="D3" s="2"/>
      <c r="E3" s="2"/>
      <c r="F3" s="2"/>
      <c r="G3" s="2"/>
      <c r="H3" s="2"/>
      <c r="I3" s="2"/>
      <c r="J3" s="2"/>
      <c r="K3" s="2"/>
    </row>
    <row r="4" spans="1:11" ht="14.25" customHeight="1">
      <c r="A4" s="6">
        <v>3</v>
      </c>
      <c r="B4" s="1" t="s">
        <v>96</v>
      </c>
      <c r="C4" s="6"/>
      <c r="D4" s="2"/>
      <c r="E4" s="2"/>
      <c r="F4" s="2"/>
      <c r="G4" s="2"/>
      <c r="H4" s="2"/>
      <c r="I4" s="2"/>
      <c r="J4" s="2"/>
      <c r="K4" s="2"/>
    </row>
    <row r="5" spans="1:11" ht="14.25" customHeight="1">
      <c r="A5" s="6">
        <v>4</v>
      </c>
      <c r="B5" s="1" t="s">
        <v>97</v>
      </c>
      <c r="C5" s="6" t="str">
        <f>VLOOKUP(B5,MISSING_GST_NO!$B$1:$C$17,2,0)</f>
        <v>27AYGPJ4191H1Z9</v>
      </c>
      <c r="D5" s="2"/>
      <c r="E5" s="2"/>
      <c r="F5" s="2"/>
      <c r="G5" s="2"/>
      <c r="H5" s="2"/>
      <c r="I5" s="2"/>
      <c r="J5" s="2"/>
      <c r="K5" s="2"/>
    </row>
    <row r="6" spans="1:11" ht="14.25" customHeight="1">
      <c r="A6" s="6">
        <v>5</v>
      </c>
      <c r="B6" s="6" t="s">
        <v>98</v>
      </c>
      <c r="C6" s="6" t="s">
        <v>99</v>
      </c>
      <c r="D6" s="2"/>
      <c r="E6" s="2"/>
      <c r="F6" s="2"/>
      <c r="G6" s="2"/>
      <c r="H6" s="2"/>
      <c r="I6" s="2"/>
      <c r="J6" s="2"/>
      <c r="K6" s="2"/>
    </row>
    <row r="7" spans="1:11" ht="14.25" customHeight="1">
      <c r="A7" s="6">
        <v>6</v>
      </c>
      <c r="B7" s="1" t="s">
        <v>100</v>
      </c>
      <c r="C7" s="6"/>
      <c r="D7" s="2"/>
      <c r="E7" s="2"/>
      <c r="F7" s="2"/>
      <c r="G7" s="2"/>
      <c r="H7" s="2"/>
      <c r="I7" s="2"/>
      <c r="J7" s="2"/>
      <c r="K7" s="2"/>
    </row>
    <row r="8" spans="1:11" ht="14.25" customHeight="1">
      <c r="A8" s="6">
        <v>7</v>
      </c>
      <c r="B8" s="6" t="s">
        <v>101</v>
      </c>
      <c r="C8" s="6" t="s">
        <v>102</v>
      </c>
      <c r="D8" s="2"/>
      <c r="E8" s="2"/>
      <c r="F8" s="2"/>
      <c r="G8" s="2"/>
      <c r="H8" s="2"/>
      <c r="I8" s="2"/>
      <c r="J8" s="2"/>
      <c r="K8" s="2"/>
    </row>
    <row r="9" spans="1:11" ht="14.25" customHeight="1">
      <c r="A9" s="6">
        <v>8</v>
      </c>
      <c r="B9" s="1" t="s">
        <v>103</v>
      </c>
      <c r="C9" s="1" t="s">
        <v>104</v>
      </c>
      <c r="D9" s="2"/>
      <c r="E9" s="2"/>
      <c r="F9" s="2"/>
      <c r="G9" s="2"/>
      <c r="H9" s="2"/>
      <c r="I9" s="2"/>
      <c r="J9" s="2"/>
      <c r="K9" s="2"/>
    </row>
    <row r="10" spans="1:11" ht="14.25" customHeight="1">
      <c r="A10" s="6">
        <v>9</v>
      </c>
      <c r="B10" s="1" t="s">
        <v>105</v>
      </c>
      <c r="C10" s="1" t="s">
        <v>106</v>
      </c>
      <c r="D10" s="2"/>
      <c r="E10" s="2"/>
      <c r="F10" s="2"/>
      <c r="G10" s="2"/>
      <c r="H10" s="2"/>
      <c r="I10" s="2"/>
      <c r="J10" s="2"/>
      <c r="K10" s="2"/>
    </row>
    <row r="11" spans="1:11" ht="14.25" customHeight="1">
      <c r="A11" s="6">
        <v>10</v>
      </c>
      <c r="B11" s="1" t="s">
        <v>107</v>
      </c>
      <c r="C11" s="1" t="s">
        <v>108</v>
      </c>
      <c r="D11" s="2"/>
      <c r="E11" s="2"/>
      <c r="F11" s="2"/>
      <c r="G11" s="2"/>
      <c r="H11" s="2"/>
      <c r="I11" s="2"/>
      <c r="J11" s="2"/>
      <c r="K11" s="2"/>
    </row>
    <row r="12" spans="1:11" ht="14.25" customHeight="1">
      <c r="A12" s="6">
        <v>11</v>
      </c>
      <c r="B12" s="1" t="s">
        <v>109</v>
      </c>
      <c r="C12" s="1" t="s">
        <v>110</v>
      </c>
      <c r="D12" s="2"/>
      <c r="E12" s="2"/>
      <c r="F12" s="2"/>
      <c r="G12" s="2"/>
      <c r="H12" s="2"/>
      <c r="I12" s="2"/>
      <c r="J12" s="2"/>
      <c r="K12" s="2"/>
    </row>
    <row r="13" spans="1:11" ht="14.25" customHeight="1">
      <c r="A13" s="6">
        <v>12</v>
      </c>
      <c r="B13" s="1" t="s">
        <v>111</v>
      </c>
      <c r="C13" s="6"/>
      <c r="D13" s="2"/>
      <c r="E13" s="2"/>
      <c r="F13" s="2"/>
      <c r="G13" s="2"/>
      <c r="H13" s="2"/>
      <c r="I13" s="2"/>
      <c r="J13" s="2"/>
      <c r="K13" s="2"/>
    </row>
    <row r="14" spans="1:11" ht="14.25" customHeight="1">
      <c r="A14" s="6">
        <v>13</v>
      </c>
      <c r="B14" s="1" t="s">
        <v>112</v>
      </c>
      <c r="C14" s="1" t="s">
        <v>113</v>
      </c>
      <c r="D14" s="2"/>
      <c r="E14" s="2"/>
      <c r="F14" s="2"/>
      <c r="G14" s="2"/>
      <c r="H14" s="2"/>
      <c r="I14" s="2"/>
      <c r="J14" s="2"/>
      <c r="K14" s="2"/>
    </row>
    <row r="15" spans="1:11" ht="14.25" customHeight="1">
      <c r="A15" s="6">
        <v>14</v>
      </c>
      <c r="B15" s="1" t="s">
        <v>114</v>
      </c>
      <c r="C15" s="6"/>
      <c r="D15" s="2"/>
      <c r="E15" s="2"/>
      <c r="F15" s="2"/>
      <c r="G15" s="2"/>
      <c r="H15" s="2"/>
      <c r="I15" s="2"/>
      <c r="J15" s="2"/>
      <c r="K15" s="2"/>
    </row>
    <row r="16" spans="1:11" ht="14.25" customHeight="1">
      <c r="A16" s="6">
        <v>15</v>
      </c>
      <c r="B16" s="6" t="s">
        <v>115</v>
      </c>
      <c r="C16" s="6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6">
        <v>16</v>
      </c>
      <c r="B17" s="1" t="s">
        <v>116</v>
      </c>
      <c r="C17" s="6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6">
        <v>17</v>
      </c>
      <c r="B18" s="6" t="s">
        <v>117</v>
      </c>
      <c r="C18" s="6" t="s">
        <v>118</v>
      </c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6">
        <v>18</v>
      </c>
      <c r="B19" s="1" t="s">
        <v>119</v>
      </c>
      <c r="C19" s="6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6">
        <v>19</v>
      </c>
      <c r="B20" s="6" t="s">
        <v>120</v>
      </c>
      <c r="C20" s="6" t="s">
        <v>121</v>
      </c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6">
        <v>20</v>
      </c>
      <c r="B21" s="6" t="s">
        <v>122</v>
      </c>
      <c r="C21" s="6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6">
        <v>21</v>
      </c>
      <c r="B22" s="1" t="s">
        <v>123</v>
      </c>
      <c r="C22" s="6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6">
        <v>22</v>
      </c>
      <c r="B23" s="1" t="s">
        <v>124</v>
      </c>
      <c r="C23" s="6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6">
        <v>23</v>
      </c>
      <c r="B24" s="1" t="s">
        <v>125</v>
      </c>
      <c r="C24" s="6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6">
        <v>24</v>
      </c>
      <c r="B25" s="1" t="s">
        <v>126</v>
      </c>
      <c r="C25" s="6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6">
        <v>25</v>
      </c>
      <c r="B26" s="1" t="s">
        <v>127</v>
      </c>
      <c r="C26" s="6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6">
        <v>26</v>
      </c>
      <c r="B27" s="1" t="s">
        <v>128</v>
      </c>
      <c r="C27" s="1" t="s">
        <v>129</v>
      </c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6">
        <v>27</v>
      </c>
      <c r="B28" s="1" t="s">
        <v>130</v>
      </c>
      <c r="C28" s="6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autoFilter ref="A1:C28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/>
  </sheetViews>
  <sheetFormatPr defaultColWidth="12.625" defaultRowHeight="15" customHeight="1"/>
  <cols>
    <col min="1" max="1" width="5.625" customWidth="1"/>
    <col min="2" max="2" width="38" customWidth="1"/>
    <col min="3" max="3" width="17.375" customWidth="1"/>
    <col min="4" max="4" width="9" customWidth="1"/>
    <col min="5" max="5" width="13.625" customWidth="1"/>
    <col min="6" max="6" width="14.125" customWidth="1"/>
    <col min="7" max="11" width="9" customWidth="1"/>
  </cols>
  <sheetData>
    <row r="1" spans="1:11" ht="14.25" customHeight="1">
      <c r="A1" s="2" t="s">
        <v>14</v>
      </c>
      <c r="B1" s="2" t="s">
        <v>91</v>
      </c>
      <c r="C1" s="2" t="s">
        <v>92</v>
      </c>
      <c r="D1" s="2"/>
      <c r="E1" s="2"/>
      <c r="F1" s="2"/>
      <c r="G1" s="2"/>
      <c r="H1" s="2"/>
      <c r="I1" s="2"/>
      <c r="J1" s="2"/>
      <c r="K1" s="2"/>
    </row>
    <row r="2" spans="1:11" ht="14.25" customHeight="1">
      <c r="A2" s="2">
        <v>1</v>
      </c>
      <c r="B2" t="s">
        <v>95</v>
      </c>
      <c r="C2" t="s">
        <v>131</v>
      </c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2">
        <v>4</v>
      </c>
      <c r="B3" t="s">
        <v>100</v>
      </c>
      <c r="C3" t="s">
        <v>132</v>
      </c>
      <c r="D3" s="2"/>
      <c r="E3" s="2"/>
      <c r="F3" s="2"/>
      <c r="G3" s="2"/>
      <c r="H3" s="2"/>
      <c r="I3" s="2"/>
      <c r="J3" s="2"/>
      <c r="K3" s="2"/>
    </row>
    <row r="4" spans="1:11" ht="14.25" customHeight="1">
      <c r="A4" s="2">
        <v>16</v>
      </c>
      <c r="B4" t="s">
        <v>130</v>
      </c>
      <c r="C4" t="s">
        <v>133</v>
      </c>
      <c r="D4" s="2"/>
      <c r="E4" s="2"/>
      <c r="F4" s="2"/>
      <c r="G4" s="2"/>
      <c r="H4" s="2"/>
      <c r="I4" s="2"/>
      <c r="J4" s="2"/>
      <c r="K4" s="2"/>
    </row>
    <row r="5" spans="1:11" ht="14.25" customHeight="1">
      <c r="A5" s="2">
        <v>2</v>
      </c>
      <c r="B5" t="s">
        <v>96</v>
      </c>
      <c r="C5" t="s">
        <v>134</v>
      </c>
      <c r="D5" s="2"/>
      <c r="E5" s="2"/>
      <c r="F5" s="2"/>
      <c r="G5" s="2"/>
      <c r="H5" s="2"/>
      <c r="I5" s="2"/>
      <c r="J5" s="2"/>
      <c r="K5" s="2"/>
    </row>
    <row r="6" spans="1:11" ht="14.25" customHeight="1">
      <c r="A6" s="2">
        <v>11</v>
      </c>
      <c r="B6" t="s">
        <v>123</v>
      </c>
      <c r="C6" t="s">
        <v>135</v>
      </c>
      <c r="D6" s="2"/>
      <c r="E6" s="2"/>
      <c r="F6" s="2"/>
      <c r="G6" s="2"/>
      <c r="H6" s="2"/>
      <c r="I6" s="2"/>
      <c r="J6" s="2"/>
      <c r="K6" s="2"/>
    </row>
    <row r="7" spans="1:11" ht="14.25" customHeight="1">
      <c r="A7" s="2">
        <v>8</v>
      </c>
      <c r="B7" t="s">
        <v>116</v>
      </c>
      <c r="C7" t="s">
        <v>136</v>
      </c>
      <c r="D7" s="2"/>
      <c r="E7" s="2"/>
      <c r="F7" s="2"/>
      <c r="G7" s="2"/>
      <c r="H7" s="2"/>
      <c r="I7" s="2"/>
      <c r="J7" s="2"/>
      <c r="K7" s="2"/>
    </row>
    <row r="8" spans="1:11" ht="14.25" customHeight="1">
      <c r="A8" s="2">
        <v>5</v>
      </c>
      <c r="B8" t="s">
        <v>111</v>
      </c>
      <c r="C8" t="s">
        <v>137</v>
      </c>
      <c r="D8" s="2"/>
      <c r="E8" s="2"/>
      <c r="F8" s="2"/>
      <c r="G8" s="2"/>
      <c r="H8" s="2"/>
      <c r="I8" s="2"/>
      <c r="J8" s="2"/>
      <c r="K8" s="2"/>
    </row>
    <row r="9" spans="1:11" ht="14.25" customHeight="1">
      <c r="A9" s="2">
        <v>9</v>
      </c>
      <c r="B9" t="s">
        <v>119</v>
      </c>
      <c r="C9" t="s">
        <v>138</v>
      </c>
      <c r="D9" s="2"/>
      <c r="E9" s="2"/>
      <c r="F9" s="2"/>
      <c r="G9" s="2"/>
      <c r="H9" s="2"/>
      <c r="I9" s="2"/>
      <c r="J9" s="2"/>
      <c r="K9" s="2"/>
    </row>
    <row r="10" spans="1:11" ht="14.25" customHeight="1">
      <c r="A10" s="2">
        <v>15</v>
      </c>
      <c r="B10" t="s">
        <v>127</v>
      </c>
      <c r="C10" t="s">
        <v>139</v>
      </c>
      <c r="D10" s="2"/>
      <c r="E10" s="2"/>
      <c r="F10" s="2"/>
      <c r="G10" s="2"/>
      <c r="H10" s="2"/>
      <c r="I10" s="2"/>
      <c r="J10" s="2"/>
      <c r="K10" s="2"/>
    </row>
    <row r="11" spans="1:11" ht="14.25" customHeight="1">
      <c r="A11" s="2">
        <v>7</v>
      </c>
      <c r="B11" s="2" t="s">
        <v>115</v>
      </c>
      <c r="C11" s="2" t="s">
        <v>140</v>
      </c>
      <c r="D11" s="2"/>
      <c r="E11" s="2"/>
      <c r="F11" s="2"/>
      <c r="G11" s="2"/>
      <c r="H11" s="2"/>
      <c r="I11" s="2"/>
      <c r="J11" s="2"/>
      <c r="K11" s="2"/>
    </row>
    <row r="12" spans="1:11" ht="14.25" customHeight="1">
      <c r="A12" s="2">
        <v>10</v>
      </c>
      <c r="B12" s="2" t="s">
        <v>122</v>
      </c>
      <c r="C12" s="2" t="s">
        <v>141</v>
      </c>
      <c r="D12" s="2"/>
      <c r="E12" s="2"/>
      <c r="F12" s="2"/>
      <c r="G12" s="2"/>
      <c r="H12" s="2"/>
      <c r="I12" s="2"/>
      <c r="J12" s="2"/>
      <c r="K12" s="2"/>
    </row>
    <row r="13" spans="1:11" ht="14.25" customHeight="1">
      <c r="A13" s="2">
        <v>14</v>
      </c>
      <c r="B13" t="s">
        <v>126</v>
      </c>
      <c r="C13" t="s">
        <v>142</v>
      </c>
      <c r="D13" s="2"/>
      <c r="E13" s="2"/>
      <c r="F13" s="2"/>
      <c r="G13" s="2"/>
      <c r="H13" s="2"/>
      <c r="I13" s="2"/>
      <c r="J13" s="2"/>
      <c r="K13" s="2"/>
    </row>
    <row r="14" spans="1:11" ht="14.25" customHeight="1">
      <c r="A14" s="2">
        <v>6</v>
      </c>
      <c r="B14" t="s">
        <v>143</v>
      </c>
      <c r="C14" t="s">
        <v>144</v>
      </c>
      <c r="D14" s="2"/>
      <c r="E14" s="2"/>
      <c r="F14" s="2"/>
      <c r="G14" s="2"/>
      <c r="H14" s="2"/>
      <c r="I14" s="2"/>
      <c r="J14" s="2"/>
      <c r="K14" s="2"/>
    </row>
    <row r="15" spans="1:11" ht="14.25" customHeight="1">
      <c r="A15" s="2">
        <v>12</v>
      </c>
      <c r="B15" t="s">
        <v>124</v>
      </c>
      <c r="C15" t="s">
        <v>145</v>
      </c>
      <c r="D15" s="2"/>
      <c r="E15" s="2"/>
      <c r="F15" s="2"/>
      <c r="G15" s="2"/>
      <c r="H15" s="2"/>
      <c r="I15" s="2"/>
      <c r="J15" s="2"/>
      <c r="K15" s="2"/>
    </row>
    <row r="16" spans="1:11" ht="14.25" customHeight="1">
      <c r="A16" s="2">
        <v>3</v>
      </c>
      <c r="B16" t="s">
        <v>97</v>
      </c>
      <c r="C16" t="s">
        <v>146</v>
      </c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>
        <v>13</v>
      </c>
      <c r="B17" t="s">
        <v>125</v>
      </c>
      <c r="C17" t="s">
        <v>147</v>
      </c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workbookViewId="0"/>
  </sheetViews>
  <sheetFormatPr defaultColWidth="12.625" defaultRowHeight="15" customHeight="1"/>
  <cols>
    <col min="1" max="1" width="7.625" customWidth="1"/>
    <col min="2" max="2" width="11.125" customWidth="1"/>
    <col min="3" max="3" width="10.875" customWidth="1"/>
    <col min="4" max="4" width="9" customWidth="1"/>
    <col min="5" max="5" width="11.5" customWidth="1"/>
    <col min="6" max="11" width="9" customWidth="1"/>
  </cols>
  <sheetData>
    <row r="1" spans="1:11" ht="14.25" customHeight="1">
      <c r="A1" s="11" t="s">
        <v>14</v>
      </c>
      <c r="B1" s="11" t="s">
        <v>148</v>
      </c>
      <c r="C1" s="11" t="s">
        <v>149</v>
      </c>
      <c r="D1" s="2"/>
      <c r="E1" s="11" t="s">
        <v>150</v>
      </c>
      <c r="F1" s="23" t="str">
        <f>(VLOOKUP(MAX(B2:B7),B1:C7,2,0))</f>
        <v>Processor</v>
      </c>
      <c r="G1" s="2"/>
      <c r="H1" s="2"/>
      <c r="I1" s="2"/>
      <c r="J1" s="2"/>
      <c r="K1" s="2"/>
    </row>
    <row r="2" spans="1:11" ht="14.25" customHeight="1">
      <c r="A2" s="6">
        <v>1</v>
      </c>
      <c r="B2" s="6">
        <v>350</v>
      </c>
      <c r="C2" s="6" t="s">
        <v>151</v>
      </c>
      <c r="D2" s="2"/>
      <c r="E2" s="11" t="s">
        <v>152</v>
      </c>
      <c r="F2" s="23" t="str">
        <f>VLOOKUP(MIN(B2:B7),B1:C7,2,0)</f>
        <v>Mouse</v>
      </c>
      <c r="G2" s="2"/>
      <c r="H2" s="2"/>
      <c r="I2" s="2"/>
      <c r="J2" s="2"/>
      <c r="K2" s="2"/>
    </row>
    <row r="3" spans="1:11" ht="14.25" customHeight="1">
      <c r="A3" s="6">
        <v>2</v>
      </c>
      <c r="B3" s="6">
        <v>150</v>
      </c>
      <c r="C3" s="6" t="s">
        <v>153</v>
      </c>
      <c r="D3" s="2"/>
      <c r="E3" s="25"/>
      <c r="F3" s="2"/>
      <c r="G3" s="2"/>
      <c r="H3" s="2"/>
      <c r="I3" s="2"/>
      <c r="J3" s="2"/>
      <c r="K3" s="2"/>
    </row>
    <row r="4" spans="1:11" ht="14.25" customHeight="1">
      <c r="A4" s="6">
        <v>3</v>
      </c>
      <c r="B4" s="6">
        <v>3000</v>
      </c>
      <c r="C4" s="6" t="s">
        <v>154</v>
      </c>
      <c r="D4" s="2"/>
      <c r="E4" s="2"/>
      <c r="F4" s="2"/>
      <c r="G4" s="2"/>
      <c r="H4" s="2"/>
      <c r="I4" s="2"/>
      <c r="J4" s="2"/>
      <c r="K4" s="2"/>
    </row>
    <row r="5" spans="1:11" ht="14.25" customHeight="1">
      <c r="A5" s="6">
        <v>4</v>
      </c>
      <c r="B5" s="6">
        <v>3500</v>
      </c>
      <c r="C5" s="6" t="s">
        <v>155</v>
      </c>
      <c r="D5" s="2"/>
      <c r="E5" s="2"/>
      <c r="F5" s="2"/>
      <c r="G5" s="2"/>
      <c r="H5" s="2"/>
      <c r="I5" s="2"/>
      <c r="J5" s="2"/>
      <c r="K5" s="2"/>
    </row>
    <row r="6" spans="1:11" ht="14.25" customHeight="1">
      <c r="A6" s="6">
        <v>5</v>
      </c>
      <c r="B6" s="6">
        <v>2000</v>
      </c>
      <c r="C6" s="6" t="s">
        <v>156</v>
      </c>
      <c r="D6" s="2"/>
      <c r="E6" s="2"/>
      <c r="F6" s="2"/>
      <c r="G6" s="2"/>
      <c r="H6" s="2"/>
      <c r="I6" s="2"/>
      <c r="J6" s="2"/>
      <c r="K6" s="2"/>
    </row>
    <row r="7" spans="1:11" ht="14.25" customHeight="1">
      <c r="A7" s="6">
        <v>6</v>
      </c>
      <c r="B7" s="6">
        <v>4500</v>
      </c>
      <c r="C7" s="6" t="s">
        <v>157</v>
      </c>
      <c r="D7" s="2"/>
      <c r="E7" s="2"/>
      <c r="F7" s="2"/>
      <c r="G7" s="2"/>
      <c r="H7" s="2"/>
      <c r="I7" s="2"/>
      <c r="J7" s="2"/>
      <c r="K7" s="2"/>
    </row>
    <row r="8" spans="1:11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4.25" customHeight="1">
      <c r="A10" s="2" t="s">
        <v>158</v>
      </c>
      <c r="B10" s="2"/>
      <c r="C10" s="2"/>
      <c r="D10" s="2"/>
      <c r="E10" s="11" t="s">
        <v>150</v>
      </c>
      <c r="F10" s="2"/>
      <c r="G10" s="2"/>
      <c r="H10" s="2"/>
      <c r="I10" s="2"/>
      <c r="J10" s="2"/>
      <c r="K10" s="2"/>
    </row>
    <row r="11" spans="1:11" ht="14.25" customHeight="1">
      <c r="A11" s="2" t="s">
        <v>159</v>
      </c>
      <c r="B11" s="2"/>
      <c r="C11" s="2"/>
      <c r="D11" s="2"/>
      <c r="E11" s="11" t="s">
        <v>152</v>
      </c>
      <c r="F11" s="2"/>
      <c r="G11" s="2"/>
      <c r="H11" s="2"/>
      <c r="I11" s="2"/>
      <c r="J11" s="2"/>
      <c r="K11" s="2"/>
    </row>
    <row r="12" spans="1:11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V_LOOKUP</vt:lpstr>
      <vt:lpstr>Sheet1</vt:lpstr>
      <vt:lpstr>V_LOOKUP 2</vt:lpstr>
      <vt:lpstr>V_LOOKUP 3</vt:lpstr>
      <vt:lpstr>V_LOOKUP 4</vt:lpstr>
      <vt:lpstr>V_LOOKUP 5</vt:lpstr>
      <vt:lpstr>V_LOOKUP 6</vt:lpstr>
      <vt:lpstr>MISSING_GST_NO</vt:lpstr>
      <vt:lpstr>V_LOOKUP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</dc:creator>
  <cp:lastModifiedBy>Lokesh Ahire</cp:lastModifiedBy>
  <dcterms:created xsi:type="dcterms:W3CDTF">2019-01-01T17:05:05Z</dcterms:created>
  <dcterms:modified xsi:type="dcterms:W3CDTF">2026-08-18T09:21:42Z</dcterms:modified>
</cp:coreProperties>
</file>