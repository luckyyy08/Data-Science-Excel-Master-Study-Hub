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86FF101E-17CB-4C4C-9967-931053D29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ithmatic Functions" sheetId="7" r:id="rId1"/>
    <sheet name="IF AND OR nested" sheetId="8" r:id="rId2"/>
    <sheet name="Text functions" sheetId="4" r:id="rId3"/>
    <sheet name="Date" sheetId="5" r:id="rId4"/>
    <sheet name="DataValidation" sheetId="6" state="hidden" r:id="rId5"/>
  </sheets>
  <definedNames>
    <definedName name="_xlnm._FilterDatabase" localSheetId="1" hidden="1">'IF AND OR nested'!$A$10:$N$48</definedName>
    <definedName name="Basic_Salary" localSheetId="1">'IF AND OR nested'!$H$11:$H$48</definedName>
    <definedName name="Basic_Salary">'Arithmatic Functions'!$J$7:$J$44</definedName>
    <definedName name="Birthdate" localSheetId="1">'IF AND OR nested'!$D$11:$D$48</definedName>
    <definedName name="Birthdate">'Arithmatic Functions'!$E$7:$E$44</definedName>
    <definedName name="C_Code" localSheetId="1">'IF AND OR nested'!$A$11:$A$48</definedName>
    <definedName name="C_Code">'Arithmatic Functions'!$B$7:$B$44</definedName>
    <definedName name="Department" localSheetId="1">'IF AND OR nested'!$G$11:$G$48</definedName>
    <definedName name="Department">'Arithmatic Functions'!$H$7:$H$44</definedName>
    <definedName name="FirstName" localSheetId="1">'IF AND OR nested'!$B$11:$B$48</definedName>
    <definedName name="FirstName">'Arithmatic Functions'!$C$7:$C$44</definedName>
    <definedName name="Gender" localSheetId="1">'IF AND OR nested'!$E$11:$E$48</definedName>
    <definedName name="Gender">'Arithmatic Functions'!$F$7:$F$44</definedName>
    <definedName name="LastName" localSheetId="1">'IF AND OR nested'!$C$11:$C$48</definedName>
    <definedName name="LastName">'Arithmatic Functions'!$D$7:$D$44</definedName>
    <definedName name="M_Status" localSheetId="1">'IF AND OR nested'!$F$11:$F$48</definedName>
    <definedName name="M_Status">'Arithmatic Functions'!$G$7:$G$44</definedName>
    <definedName name="Region" localSheetId="1">'IF AND OR nested'!$I$11:$I$48</definedName>
    <definedName name="Region">'Arithmatic Functions'!$I$7:$I$44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7" l="1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12" i="8"/>
  <c r="L13" i="8"/>
  <c r="L11" i="8"/>
  <c r="G4" i="5"/>
  <c r="G3" i="5"/>
  <c r="C26" i="5"/>
  <c r="C27" i="5"/>
  <c r="C28" i="5"/>
  <c r="C29" i="5"/>
  <c r="C30" i="5"/>
  <c r="C31" i="5"/>
  <c r="C32" i="5"/>
  <c r="C33" i="5"/>
  <c r="C25" i="5"/>
  <c r="D7" i="5"/>
  <c r="H8" i="5"/>
  <c r="H9" i="5"/>
  <c r="H10" i="5"/>
  <c r="H11" i="5"/>
  <c r="H12" i="5"/>
  <c r="H13" i="5"/>
  <c r="H14" i="5"/>
  <c r="H15" i="5"/>
  <c r="H16" i="5"/>
  <c r="H17" i="5"/>
  <c r="H18" i="5"/>
  <c r="H7" i="5"/>
  <c r="C3" i="5"/>
  <c r="I7" i="5" s="1"/>
  <c r="G8" i="5"/>
  <c r="G9" i="5"/>
  <c r="G10" i="5"/>
  <c r="G11" i="5"/>
  <c r="G12" i="5"/>
  <c r="G13" i="5"/>
  <c r="G14" i="5"/>
  <c r="G15" i="5"/>
  <c r="G16" i="5"/>
  <c r="G17" i="5"/>
  <c r="G18" i="5"/>
  <c r="G7" i="5"/>
  <c r="F8" i="5"/>
  <c r="F9" i="5"/>
  <c r="F10" i="5"/>
  <c r="F11" i="5"/>
  <c r="F12" i="5"/>
  <c r="F13" i="5"/>
  <c r="F14" i="5"/>
  <c r="F15" i="5"/>
  <c r="F16" i="5"/>
  <c r="F17" i="5"/>
  <c r="F18" i="5"/>
  <c r="F7" i="5"/>
  <c r="E8" i="5"/>
  <c r="E9" i="5"/>
  <c r="E10" i="5"/>
  <c r="E11" i="5"/>
  <c r="E12" i="5"/>
  <c r="E13" i="5"/>
  <c r="E14" i="5"/>
  <c r="E15" i="5"/>
  <c r="E16" i="5"/>
  <c r="E17" i="5"/>
  <c r="E18" i="5"/>
  <c r="E7" i="5"/>
  <c r="D8" i="5"/>
  <c r="D9" i="5"/>
  <c r="D10" i="5"/>
  <c r="D11" i="5"/>
  <c r="D12" i="5"/>
  <c r="D13" i="5"/>
  <c r="D14" i="5"/>
  <c r="D15" i="5"/>
  <c r="D16" i="5"/>
  <c r="D17" i="5"/>
  <c r="D18" i="5"/>
  <c r="C4" i="5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7" i="4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11" i="8"/>
  <c r="Q23" i="7"/>
  <c r="Q24" i="7"/>
  <c r="Q25" i="7"/>
  <c r="Q26" i="7"/>
  <c r="Q27" i="7"/>
  <c r="Q28" i="7"/>
  <c r="Q29" i="7"/>
  <c r="Q30" i="7"/>
  <c r="Q31" i="7"/>
  <c r="Q32" i="7"/>
  <c r="Q22" i="7"/>
  <c r="P23" i="7"/>
  <c r="P24" i="7"/>
  <c r="P25" i="7"/>
  <c r="P26" i="7"/>
  <c r="P27" i="7"/>
  <c r="P28" i="7"/>
  <c r="P29" i="7"/>
  <c r="P30" i="7"/>
  <c r="P31" i="7"/>
  <c r="P32" i="7"/>
  <c r="O22" i="7"/>
  <c r="O23" i="7"/>
  <c r="O24" i="7"/>
  <c r="O25" i="7"/>
  <c r="O26" i="7"/>
  <c r="O27" i="7"/>
  <c r="O28" i="7"/>
  <c r="O29" i="7"/>
  <c r="O30" i="7"/>
  <c r="O31" i="7"/>
  <c r="O32" i="7"/>
  <c r="N22" i="7"/>
  <c r="N23" i="7"/>
  <c r="N24" i="7"/>
  <c r="N25" i="7"/>
  <c r="N26" i="7"/>
  <c r="N27" i="7"/>
  <c r="N28" i="7"/>
  <c r="N29" i="7"/>
  <c r="N30" i="7"/>
  <c r="N31" i="7"/>
  <c r="N32" i="7"/>
  <c r="N16" i="7"/>
  <c r="N15" i="7"/>
  <c r="N14" i="7"/>
  <c r="N13" i="7"/>
  <c r="N12" i="7"/>
  <c r="N11" i="7"/>
  <c r="N8" i="7"/>
  <c r="N7" i="7"/>
  <c r="N6" i="7"/>
  <c r="N5" i="7"/>
  <c r="N3" i="7"/>
  <c r="N4" i="7"/>
  <c r="I16" i="5" l="1"/>
  <c r="I15" i="5"/>
  <c r="I14" i="5"/>
  <c r="I13" i="5"/>
  <c r="I18" i="5"/>
  <c r="I17" i="5"/>
  <c r="I12" i="5"/>
  <c r="I11" i="5"/>
  <c r="I10" i="5"/>
  <c r="I9" i="5"/>
  <c r="I8" i="5"/>
</calcChain>
</file>

<file path=xl/sharedStrings.xml><?xml version="1.0" encoding="utf-8"?>
<sst xmlns="http://schemas.openxmlformats.org/spreadsheetml/2006/main" count="865" uniqueCount="221">
  <si>
    <t>Full Name</t>
  </si>
  <si>
    <t>South</t>
  </si>
  <si>
    <t>Finance</t>
  </si>
  <si>
    <t>Married</t>
  </si>
  <si>
    <t>Male</t>
  </si>
  <si>
    <t>Prem Pherwani</t>
  </si>
  <si>
    <t>East</t>
  </si>
  <si>
    <t>Marketing</t>
  </si>
  <si>
    <t>Female</t>
  </si>
  <si>
    <t>Venitha Shetty</t>
  </si>
  <si>
    <t>Director</t>
  </si>
  <si>
    <t>Shankar Shetty</t>
  </si>
  <si>
    <t>Operations</t>
  </si>
  <si>
    <t>Nitin Patki</t>
  </si>
  <si>
    <t>CCD</t>
  </si>
  <si>
    <t>Sharadchandra Riswadkar</t>
  </si>
  <si>
    <t>Praful Savla</t>
  </si>
  <si>
    <t>Inside Sales</t>
  </si>
  <si>
    <t>D Kulkarni</t>
  </si>
  <si>
    <t>Digital Marketing</t>
  </si>
  <si>
    <t>Piyush Kamdar</t>
  </si>
  <si>
    <t>Mid West</t>
  </si>
  <si>
    <t>Learning &amp; Development</t>
  </si>
  <si>
    <t>Dattatray Desai</t>
  </si>
  <si>
    <t>Jitendra Thacker</t>
  </si>
  <si>
    <t>Sales</t>
  </si>
  <si>
    <t>Kawdoor Shetty</t>
  </si>
  <si>
    <t>Satish Pasari</t>
  </si>
  <si>
    <t>Jagjit Kahlon</t>
  </si>
  <si>
    <t>Raju Manek</t>
  </si>
  <si>
    <t>Vishnu Desai</t>
  </si>
  <si>
    <t>Ashok Samtaney</t>
  </si>
  <si>
    <t>Dhiren Sheth</t>
  </si>
  <si>
    <t>Simon Rodrigues</t>
  </si>
  <si>
    <t>CEO</t>
  </si>
  <si>
    <t>Ruffina Joshi</t>
  </si>
  <si>
    <t>North</t>
  </si>
  <si>
    <t>FLM</t>
  </si>
  <si>
    <t>Ram Ambradkar</t>
  </si>
  <si>
    <t>Single</t>
  </si>
  <si>
    <t>Yogesh Mansharamani</t>
  </si>
  <si>
    <t>Dinesh Dhanuka</t>
  </si>
  <si>
    <t>Yashraj Vaidya</t>
  </si>
  <si>
    <t>Sudesh Pillai</t>
  </si>
  <si>
    <t>Gururaj Joshi</t>
  </si>
  <si>
    <t>Rajeev Singh</t>
  </si>
  <si>
    <t>Boneca Rego</t>
  </si>
  <si>
    <t>Sachin Bangera</t>
  </si>
  <si>
    <t>Tulsidas Shetty</t>
  </si>
  <si>
    <t>Rajeesh C</t>
  </si>
  <si>
    <t>Stan Serrao</t>
  </si>
  <si>
    <t>Bobby Tanna</t>
  </si>
  <si>
    <t>Heena Dongre</t>
  </si>
  <si>
    <t>Rajesh Dedhia</t>
  </si>
  <si>
    <t>Dhiren Haria</t>
  </si>
  <si>
    <t>Rajesh Bohra</t>
  </si>
  <si>
    <t>Piyush Shah</t>
  </si>
  <si>
    <t>Melwyn Crasto</t>
  </si>
  <si>
    <t>Employee ID</t>
  </si>
  <si>
    <t>Basic Salary</t>
  </si>
  <si>
    <t>Region</t>
  </si>
  <si>
    <t>Department</t>
  </si>
  <si>
    <t>M_Status</t>
  </si>
  <si>
    <t>Gender</t>
  </si>
  <si>
    <t>Hiring date</t>
  </si>
  <si>
    <t>S.No</t>
  </si>
  <si>
    <t>FN</t>
  </si>
  <si>
    <t>LN</t>
  </si>
  <si>
    <t>Separate First Name and Last Name for the below list .</t>
  </si>
  <si>
    <t>Current Date</t>
  </si>
  <si>
    <t>Last Modified Date</t>
  </si>
  <si>
    <t>Current Time</t>
  </si>
  <si>
    <t>Last Modified Time</t>
  </si>
  <si>
    <t>Name</t>
  </si>
  <si>
    <t>Birthdate</t>
  </si>
  <si>
    <t>Day</t>
  </si>
  <si>
    <t>Month(in number)</t>
  </si>
  <si>
    <t>Month(in text)</t>
  </si>
  <si>
    <t>Year</t>
  </si>
  <si>
    <t>Age(in years)</t>
  </si>
  <si>
    <t>Exact Age with Years,Month,days</t>
  </si>
  <si>
    <t>Q. Convert the date from first format to the second format and sort in ascending order.</t>
  </si>
  <si>
    <t>Date (yyyymmdd.000)</t>
  </si>
  <si>
    <t>Date (mm/dd/yyyy)</t>
  </si>
  <si>
    <t>VALIDATION SHEET</t>
  </si>
  <si>
    <t>Region Details</t>
  </si>
  <si>
    <t>Emp_Code</t>
  </si>
  <si>
    <t>Salary</t>
  </si>
  <si>
    <t>UserID</t>
  </si>
  <si>
    <t>Area</t>
  </si>
  <si>
    <t>West</t>
  </si>
  <si>
    <t>Kurla</t>
  </si>
  <si>
    <t>Andheri</t>
  </si>
  <si>
    <t>Virar</t>
  </si>
  <si>
    <t>Churchgate</t>
  </si>
  <si>
    <t>Ghatkopar</t>
  </si>
  <si>
    <t>Santacruz</t>
  </si>
  <si>
    <t>Bhyander</t>
  </si>
  <si>
    <t>Nariman point</t>
  </si>
  <si>
    <t>Vashi</t>
  </si>
  <si>
    <t>Vileparle</t>
  </si>
  <si>
    <t>Mira Road</t>
  </si>
  <si>
    <t>Colaba</t>
  </si>
  <si>
    <t>Thane</t>
  </si>
  <si>
    <t>Khar</t>
  </si>
  <si>
    <t>Vasai</t>
  </si>
  <si>
    <t>Kalbadevi</t>
  </si>
  <si>
    <t>Mulund</t>
  </si>
  <si>
    <t>Bandra</t>
  </si>
  <si>
    <t>Nallasopara</t>
  </si>
  <si>
    <t>Masjid Bunder</t>
  </si>
  <si>
    <t>Chembur</t>
  </si>
  <si>
    <t>Gogeshwari</t>
  </si>
  <si>
    <t>Naigaon</t>
  </si>
  <si>
    <t>Dockyard</t>
  </si>
  <si>
    <t>Indirect()-Area</t>
  </si>
  <si>
    <t>1.Give validation to Emp_code so that the user can enter only between 1 to 1000 without decimal</t>
  </si>
  <si>
    <t>2.Give validation to Birthdate so that the date after 2002 should not be accepted</t>
  </si>
  <si>
    <t>3.Give validation to Salary so that the salary is between 25000-85000</t>
  </si>
  <si>
    <t>4.Give validation to User_Id so that the userid is minimum 5 character long</t>
  </si>
  <si>
    <t>5.Give validation to Region so that the user will select the region from list</t>
  </si>
  <si>
    <t>6.Depending upon the region selected the user will get the respective Area</t>
  </si>
  <si>
    <t>Create Employee ID: initials of Name+first 2 letters of Department name+region initial+S.No       (ALL IN UPPER CASE). Example: MCMAN01</t>
  </si>
  <si>
    <t>Consider yourself as a manager you need to send this sheet to employees 
to gather data.For proper data collection validate the columns</t>
  </si>
  <si>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</si>
  <si>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</si>
  <si>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</si>
  <si>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</si>
  <si>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</si>
  <si>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Median Salary</t>
  </si>
  <si>
    <t>C_Code</t>
  </si>
  <si>
    <t>FirstName</t>
  </si>
  <si>
    <t>LastName</t>
  </si>
  <si>
    <t>Total Employees</t>
  </si>
  <si>
    <t>Ram</t>
  </si>
  <si>
    <t>Ambradkar</t>
  </si>
  <si>
    <t>Max Salary</t>
  </si>
  <si>
    <t>Sachin</t>
  </si>
  <si>
    <t>Bangera</t>
  </si>
  <si>
    <t>Min Salary</t>
  </si>
  <si>
    <t>Rajesh</t>
  </si>
  <si>
    <t>Bohra</t>
  </si>
  <si>
    <t>Rajeesh</t>
  </si>
  <si>
    <t>C</t>
  </si>
  <si>
    <t>More Analysis</t>
  </si>
  <si>
    <t>Melwyn</t>
  </si>
  <si>
    <t>Crasto</t>
  </si>
  <si>
    <t>total number of males</t>
  </si>
  <si>
    <t>Dedhia</t>
  </si>
  <si>
    <t>total number of females</t>
  </si>
  <si>
    <t>Dattatray</t>
  </si>
  <si>
    <t>Desai</t>
  </si>
  <si>
    <t>Total number Employees working in North</t>
  </si>
  <si>
    <t>Vishnu</t>
  </si>
  <si>
    <t>Average Salary Paid to Sales Departement of North Region</t>
  </si>
  <si>
    <t>Dinesh</t>
  </si>
  <si>
    <t>Dhanuka</t>
  </si>
  <si>
    <t>Max Salary paid in Digital Marketing</t>
  </si>
  <si>
    <t>Heena</t>
  </si>
  <si>
    <t>Dongre</t>
  </si>
  <si>
    <t>Min Salary paid in South Region</t>
  </si>
  <si>
    <t>Dhiren</t>
  </si>
  <si>
    <t>Haria</t>
  </si>
  <si>
    <t>Gururaj</t>
  </si>
  <si>
    <t>Joshi</t>
  </si>
  <si>
    <t>Ruffina</t>
  </si>
  <si>
    <t>Jagjit</t>
  </si>
  <si>
    <t>Kahlon</t>
  </si>
  <si>
    <t>Regionwise Departmentwise  Total Salary Report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</si>
  <si>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</si>
  <si>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</si>
  <si>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</si>
  <si>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</si>
  <si>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</si>
  <si>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</si>
  <si>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</si>
  <si>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</si>
  <si>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</si>
  <si>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</si>
  <si>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</si>
  <si>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</si>
  <si>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</si>
  <si>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Prem</t>
  </si>
  <si>
    <t>Pherwani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</si>
  <si>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</si>
  <si>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</si>
  <si>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</si>
  <si>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</si>
  <si>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</si>
  <si>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</si>
  <si>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</si>
  <si>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</si>
  <si>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</si>
  <si>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</si>
  <si>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</si>
  <si>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</si>
  <si>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</si>
  <si>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</si>
  <si>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</si>
  <si>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</si>
  <si>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</si>
  <si>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</si>
  <si>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</si>
  <si>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</si>
  <si>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</si>
  <si>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</si>
  <si>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</si>
  <si>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</si>
  <si>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</si>
  <si>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</si>
  <si>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</si>
  <si>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</si>
  <si>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</si>
  <si>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Add new column for each task</t>
  </si>
  <si>
    <t>Write 'Eligible for Gift', in front of Females having Salary less than 50000, if not write 'Not Eligible for Gift'</t>
  </si>
  <si>
    <t>Employees having Salary less than 30000 and belong to CCD department, Get 9000 as Bonus otherwise 0 as Bonus</t>
  </si>
  <si>
    <t>Employees joined before 1980 , write them as 'Retired' otherwise 'Not Retired'</t>
  </si>
  <si>
    <t>Employees belong to Sales and Marketing Department with Basic Salary &lt; 45000 get Bonus of 25000, Otherwise Bonus as 10000</t>
  </si>
  <si>
    <t>Gift everyone 1500 rs. Amazon Voucher, except Director and CEO</t>
  </si>
  <si>
    <t>Employees will receive TA-DA as per the Region they are posted in. North=5000, South=4000, East=4200, Midwest=3800</t>
  </si>
  <si>
    <t>20070623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</si>
</sst>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409]dd\-mmm\-yy;@"/>
    <numFmt numFmtId="165" formatCode="&quot;₹&quot;\ 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4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4" fontId="14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2" fillId="0" borderId="0" xfId="0" applyFont="1"/>
    <xf numFmtId="0" fontId="0" fillId="2" borderId="1" xfId="0" quotePrefix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5" borderId="1" xfId="0" applyFont="1" applyFill="1" applyBorder="1"/>
    <xf numFmtId="49" fontId="0" fillId="6" borderId="2" xfId="0" applyNumberFormat="1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6" fillId="0" borderId="0" xfId="1"/>
    <xf numFmtId="0" fontId="8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4" fontId="0" fillId="0" borderId="1" xfId="0" applyNumberFormat="1" applyBorder="1"/>
    <xf numFmtId="0" fontId="10" fillId="0" borderId="2" xfId="1" applyFont="1" applyBorder="1"/>
    <xf numFmtId="0" fontId="10" fillId="0" borderId="6" xfId="1" applyFont="1" applyBorder="1"/>
    <xf numFmtId="0" fontId="10" fillId="0" borderId="4" xfId="1" applyFont="1" applyBorder="1"/>
    <xf numFmtId="0" fontId="10" fillId="0" borderId="3" xfId="1" applyFont="1" applyBorder="1"/>
    <xf numFmtId="0" fontId="10" fillId="0" borderId="5" xfId="1" applyFont="1" applyBorder="1"/>
    <xf numFmtId="0" fontId="10" fillId="0" borderId="7" xfId="1" applyFont="1" applyBorder="1"/>
    <xf numFmtId="164" fontId="6" fillId="0" borderId="0" xfId="1" applyNumberFormat="1"/>
    <xf numFmtId="0" fontId="11" fillId="0" borderId="0" xfId="1" applyFont="1" applyAlignment="1">
      <alignment wrapText="1"/>
    </xf>
    <xf numFmtId="0" fontId="12" fillId="0" borderId="0" xfId="0" applyFont="1"/>
    <xf numFmtId="0" fontId="1" fillId="2" borderId="1" xfId="0" applyFont="1" applyFill="1" applyBorder="1"/>
    <xf numFmtId="0" fontId="1" fillId="0" borderId="0" xfId="0" applyFont="1"/>
    <xf numFmtId="0" fontId="0" fillId="2" borderId="1" xfId="0" applyFill="1" applyBorder="1"/>
    <xf numFmtId="0" fontId="0" fillId="0" borderId="0" xfId="0" quotePrefix="1"/>
    <xf numFmtId="0" fontId="1" fillId="2" borderId="0" xfId="0" applyFont="1" applyFill="1"/>
    <xf numFmtId="0" fontId="0" fillId="2" borderId="0" xfId="0" applyFill="1"/>
    <xf numFmtId="0" fontId="13" fillId="2" borderId="0" xfId="0" applyFont="1" applyFill="1"/>
    <xf numFmtId="14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0" fillId="0" borderId="1" xfId="2" applyNumberFormat="1" applyFont="1" applyBorder="1"/>
    <xf numFmtId="14" fontId="0" fillId="4" borderId="1" xfId="0" applyNumberFormat="1" applyFill="1" applyBorder="1"/>
    <xf numFmtId="22" fontId="0" fillId="4" borderId="1" xfId="0" applyNumberFormat="1" applyFill="1" applyBorder="1"/>
    <xf numFmtId="14" fontId="0" fillId="7" borderId="3" xfId="0" applyNumberFormat="1" applyFill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7" fillId="8" borderId="1" xfId="1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4"/>
  <sheetViews>
    <sheetView tabSelected="1" topLeftCell="E9" zoomScale="115" zoomScaleNormal="115" workbookViewId="0">
      <selection activeCell="Q19" sqref="Q19"/>
    </sheetView>
  </sheetViews>
  <sheetFormatPr defaultRowHeight="15" x14ac:dyDescent="0.25"/>
  <cols>
    <col min="5" max="5" width="11.28515625" bestFit="1" customWidth="1"/>
    <col min="8" max="8" width="23.28515625" bestFit="1" customWidth="1"/>
    <col min="10" max="10" width="12.5703125" bestFit="1" customWidth="1"/>
    <col min="13" max="13" width="49.28515625" bestFit="1" customWidth="1"/>
    <col min="14" max="14" width="13.28515625" customWidth="1"/>
    <col min="15" max="15" width="12.85546875" bestFit="1" customWidth="1"/>
    <col min="16" max="16" width="14.85546875" bestFit="1" customWidth="1"/>
    <col min="17" max="17" width="9.85546875" bestFit="1" customWidth="1"/>
    <col min="18" max="18" width="9.28515625" bestFit="1" customWidth="1"/>
  </cols>
  <sheetData>
    <row r="2" spans="2:14" x14ac:dyDescent="0.25">
      <c r="C2" s="33" t="s">
        <v>124</v>
      </c>
      <c r="D2" s="33"/>
      <c r="E2" s="33"/>
      <c r="F2" s="33"/>
      <c r="G2" s="33"/>
      <c r="H2" s="33"/>
      <c r="M2" s="42" t="s">
        <v>125</v>
      </c>
      <c r="N2" s="43"/>
    </row>
    <row r="3" spans="2:14" x14ac:dyDescent="0.25">
      <c r="C3" s="33" t="s">
        <v>126</v>
      </c>
      <c r="D3" s="33"/>
      <c r="E3" s="33"/>
      <c r="F3" s="33"/>
      <c r="G3" s="33"/>
      <c r="H3" s="33"/>
      <c r="M3" s="5" t="s">
        <v>127</v>
      </c>
      <c r="N3" s="38">
        <f>SUM(J7:J44)</f>
        <v>2191000</v>
      </c>
    </row>
    <row r="4" spans="2:14" x14ac:dyDescent="0.25">
      <c r="M4" s="5" t="s">
        <v>128</v>
      </c>
      <c r="N4" s="37">
        <f>AVERAGE(J7:J44)</f>
        <v>57657.894736842107</v>
      </c>
    </row>
    <row r="5" spans="2:14" x14ac:dyDescent="0.25">
      <c r="M5" s="5" t="s">
        <v>129</v>
      </c>
      <c r="N5" s="37">
        <f>MEDIAN(J7:J44)</f>
        <v>55000</v>
      </c>
    </row>
    <row r="6" spans="2:14" x14ac:dyDescent="0.25">
      <c r="B6" s="5" t="s">
        <v>130</v>
      </c>
      <c r="C6" s="5" t="s">
        <v>131</v>
      </c>
      <c r="D6" s="5" t="s">
        <v>132</v>
      </c>
      <c r="E6" s="5" t="s">
        <v>74</v>
      </c>
      <c r="F6" s="5" t="s">
        <v>63</v>
      </c>
      <c r="G6" s="5" t="s">
        <v>62</v>
      </c>
      <c r="H6" s="5" t="s">
        <v>61</v>
      </c>
      <c r="I6" s="5" t="s">
        <v>60</v>
      </c>
      <c r="J6" s="5" t="s">
        <v>59</v>
      </c>
      <c r="M6" s="5" t="s">
        <v>133</v>
      </c>
      <c r="N6" s="1">
        <f>COUNTA(C7:C44)</f>
        <v>38</v>
      </c>
    </row>
    <row r="7" spans="2:14" x14ac:dyDescent="0.25">
      <c r="B7" s="3">
        <v>150834</v>
      </c>
      <c r="C7" s="2" t="s">
        <v>134</v>
      </c>
      <c r="D7" s="2" t="s">
        <v>135</v>
      </c>
      <c r="E7" s="36">
        <v>31199</v>
      </c>
      <c r="F7" s="3" t="s">
        <v>8</v>
      </c>
      <c r="G7" s="2" t="s">
        <v>3</v>
      </c>
      <c r="H7" s="2" t="s">
        <v>37</v>
      </c>
      <c r="I7" s="2" t="s">
        <v>36</v>
      </c>
      <c r="J7" s="37">
        <v>48000</v>
      </c>
      <c r="M7" s="5" t="s">
        <v>136</v>
      </c>
      <c r="N7" s="37">
        <f>MAX(J7:J44)</f>
        <v>92000</v>
      </c>
    </row>
    <row r="8" spans="2:14" x14ac:dyDescent="0.25">
      <c r="B8" s="3">
        <v>150784</v>
      </c>
      <c r="C8" s="2" t="s">
        <v>137</v>
      </c>
      <c r="D8" s="2" t="s">
        <v>138</v>
      </c>
      <c r="E8" s="36">
        <v>28365</v>
      </c>
      <c r="F8" s="3" t="s">
        <v>8</v>
      </c>
      <c r="G8" s="2" t="s">
        <v>39</v>
      </c>
      <c r="H8" s="2" t="s">
        <v>19</v>
      </c>
      <c r="I8" s="2" t="s">
        <v>36</v>
      </c>
      <c r="J8" s="37">
        <v>35000</v>
      </c>
      <c r="M8" s="5" t="s">
        <v>139</v>
      </c>
      <c r="N8" s="37">
        <f>MIN(J7:J44)</f>
        <v>15000</v>
      </c>
    </row>
    <row r="9" spans="2:14" x14ac:dyDescent="0.25">
      <c r="B9" s="3">
        <v>150791</v>
      </c>
      <c r="C9" s="2" t="s">
        <v>140</v>
      </c>
      <c r="D9" s="2" t="s">
        <v>141</v>
      </c>
      <c r="E9" s="36">
        <v>23346</v>
      </c>
      <c r="F9" s="3" t="s">
        <v>8</v>
      </c>
      <c r="G9" s="2" t="s">
        <v>3</v>
      </c>
      <c r="H9" s="2" t="s">
        <v>19</v>
      </c>
      <c r="I9" s="2" t="s">
        <v>36</v>
      </c>
      <c r="J9" s="37">
        <v>67000</v>
      </c>
    </row>
    <row r="10" spans="2:14" x14ac:dyDescent="0.25">
      <c r="B10" s="3">
        <v>150940</v>
      </c>
      <c r="C10" s="2" t="s">
        <v>142</v>
      </c>
      <c r="D10" s="2" t="s">
        <v>143</v>
      </c>
      <c r="E10" s="36">
        <v>26906</v>
      </c>
      <c r="F10" s="3" t="s">
        <v>4</v>
      </c>
      <c r="G10" s="2" t="s">
        <v>39</v>
      </c>
      <c r="H10" s="2" t="s">
        <v>17</v>
      </c>
      <c r="I10" s="2" t="s">
        <v>1</v>
      </c>
      <c r="J10" s="37">
        <v>87000</v>
      </c>
      <c r="M10" s="42" t="s">
        <v>144</v>
      </c>
      <c r="N10" s="43"/>
    </row>
    <row r="11" spans="2:14" x14ac:dyDescent="0.25">
      <c r="B11" s="3">
        <v>150777</v>
      </c>
      <c r="C11" s="2" t="s">
        <v>145</v>
      </c>
      <c r="D11" s="2" t="s">
        <v>146</v>
      </c>
      <c r="E11" s="36">
        <v>21123</v>
      </c>
      <c r="F11" s="3" t="s">
        <v>4</v>
      </c>
      <c r="G11" s="2" t="s">
        <v>3</v>
      </c>
      <c r="H11" s="2" t="s">
        <v>7</v>
      </c>
      <c r="I11" s="2" t="s">
        <v>36</v>
      </c>
      <c r="J11" s="37">
        <v>22000</v>
      </c>
      <c r="M11" s="1" t="s">
        <v>147</v>
      </c>
      <c r="N11" s="1">
        <f>COUNTIF(Gender,"male")</f>
        <v>23</v>
      </c>
    </row>
    <row r="12" spans="2:14" x14ac:dyDescent="0.25">
      <c r="B12" s="3">
        <v>150805</v>
      </c>
      <c r="C12" s="2" t="s">
        <v>140</v>
      </c>
      <c r="D12" s="2" t="s">
        <v>148</v>
      </c>
      <c r="E12" s="36">
        <v>26172</v>
      </c>
      <c r="F12" s="3" t="s">
        <v>4</v>
      </c>
      <c r="G12" s="2" t="s">
        <v>3</v>
      </c>
      <c r="H12" s="2" t="s">
        <v>10</v>
      </c>
      <c r="I12" s="2" t="s">
        <v>36</v>
      </c>
      <c r="J12" s="37">
        <v>91000</v>
      </c>
      <c r="M12" s="1" t="s">
        <v>149</v>
      </c>
      <c r="N12" s="1">
        <f>COUNTIF(Gender,"female")</f>
        <v>15</v>
      </c>
    </row>
    <row r="13" spans="2:14" x14ac:dyDescent="0.25">
      <c r="B13" s="3">
        <v>150990</v>
      </c>
      <c r="C13" s="2" t="s">
        <v>150</v>
      </c>
      <c r="D13" s="2" t="s">
        <v>151</v>
      </c>
      <c r="E13" s="36">
        <v>36400</v>
      </c>
      <c r="F13" s="3" t="s">
        <v>4</v>
      </c>
      <c r="G13" s="2" t="s">
        <v>3</v>
      </c>
      <c r="H13" s="2" t="s">
        <v>22</v>
      </c>
      <c r="I13" s="2" t="s">
        <v>21</v>
      </c>
      <c r="J13" s="37">
        <v>77000</v>
      </c>
      <c r="M13" s="1" t="s">
        <v>152</v>
      </c>
      <c r="N13" s="1">
        <f>COUNTIF(Region,"north")</f>
        <v>10</v>
      </c>
    </row>
    <row r="14" spans="2:14" x14ac:dyDescent="0.25">
      <c r="B14" s="3">
        <v>150989</v>
      </c>
      <c r="C14" s="2" t="s">
        <v>153</v>
      </c>
      <c r="D14" s="2" t="s">
        <v>151</v>
      </c>
      <c r="E14" s="36">
        <v>33113</v>
      </c>
      <c r="F14" s="3" t="s">
        <v>4</v>
      </c>
      <c r="G14" s="2" t="s">
        <v>3</v>
      </c>
      <c r="H14" s="2" t="s">
        <v>19</v>
      </c>
      <c r="I14" s="2" t="s">
        <v>21</v>
      </c>
      <c r="J14" s="37">
        <v>45000</v>
      </c>
      <c r="M14" s="1" t="s">
        <v>154</v>
      </c>
      <c r="N14" s="1">
        <f>AVERAGEIF(Region,"north",Basic_Salary)</f>
        <v>55700</v>
      </c>
    </row>
    <row r="15" spans="2:14" x14ac:dyDescent="0.25">
      <c r="B15" s="3">
        <v>150881</v>
      </c>
      <c r="C15" s="2" t="s">
        <v>155</v>
      </c>
      <c r="D15" s="2" t="s">
        <v>156</v>
      </c>
      <c r="E15" s="36">
        <v>30337</v>
      </c>
      <c r="F15" s="3" t="s">
        <v>4</v>
      </c>
      <c r="G15" s="2" t="s">
        <v>39</v>
      </c>
      <c r="H15" s="2" t="s">
        <v>19</v>
      </c>
      <c r="I15" s="2" t="s">
        <v>6</v>
      </c>
      <c r="J15" s="37">
        <v>92000</v>
      </c>
      <c r="M15" s="1" t="s">
        <v>157</v>
      </c>
      <c r="N15" s="1">
        <f>_xlfn.MAXIFS(Basic_Salary,Department,"digital marketing")</f>
        <v>92000</v>
      </c>
    </row>
    <row r="16" spans="2:14" x14ac:dyDescent="0.25">
      <c r="B16" s="3">
        <v>150814</v>
      </c>
      <c r="C16" s="2" t="s">
        <v>158</v>
      </c>
      <c r="D16" s="2" t="s">
        <v>159</v>
      </c>
      <c r="E16" s="36">
        <v>26246</v>
      </c>
      <c r="F16" s="3" t="s">
        <v>4</v>
      </c>
      <c r="G16" s="2" t="s">
        <v>3</v>
      </c>
      <c r="H16" s="2" t="s">
        <v>17</v>
      </c>
      <c r="I16" s="2" t="s">
        <v>36</v>
      </c>
      <c r="J16" s="37">
        <v>50000</v>
      </c>
      <c r="M16" s="1" t="s">
        <v>160</v>
      </c>
      <c r="N16" s="1">
        <f>_xlfn.MINIFS(Basic_Salary,Region,"South")</f>
        <v>19000</v>
      </c>
    </row>
    <row r="17" spans="2:17" x14ac:dyDescent="0.25">
      <c r="B17" s="3">
        <v>150937</v>
      </c>
      <c r="C17" s="2" t="s">
        <v>161</v>
      </c>
      <c r="D17" s="2" t="s">
        <v>162</v>
      </c>
      <c r="E17" s="36">
        <v>24700</v>
      </c>
      <c r="F17" s="3" t="s">
        <v>4</v>
      </c>
      <c r="G17" s="2" t="s">
        <v>3</v>
      </c>
      <c r="H17" s="2" t="s">
        <v>22</v>
      </c>
      <c r="I17" s="2" t="s">
        <v>1</v>
      </c>
      <c r="J17" s="37">
        <v>37000</v>
      </c>
    </row>
    <row r="18" spans="2:17" x14ac:dyDescent="0.25">
      <c r="B18" s="3">
        <v>150888</v>
      </c>
      <c r="C18" s="2" t="s">
        <v>163</v>
      </c>
      <c r="D18" s="2" t="s">
        <v>164</v>
      </c>
      <c r="E18" s="36">
        <v>29221</v>
      </c>
      <c r="F18" s="3" t="s">
        <v>4</v>
      </c>
      <c r="G18" s="2" t="s">
        <v>3</v>
      </c>
      <c r="H18" s="2" t="s">
        <v>22</v>
      </c>
      <c r="I18" s="2" t="s">
        <v>6</v>
      </c>
      <c r="J18" s="37">
        <v>43000</v>
      </c>
    </row>
    <row r="19" spans="2:17" x14ac:dyDescent="0.25">
      <c r="B19" s="3">
        <v>150865</v>
      </c>
      <c r="C19" s="2" t="s">
        <v>165</v>
      </c>
      <c r="D19" s="2" t="s">
        <v>164</v>
      </c>
      <c r="E19" s="36">
        <v>31279</v>
      </c>
      <c r="F19" s="3" t="s">
        <v>8</v>
      </c>
      <c r="G19" s="2" t="s">
        <v>3</v>
      </c>
      <c r="H19" s="2" t="s">
        <v>34</v>
      </c>
      <c r="I19" s="2" t="s">
        <v>6</v>
      </c>
      <c r="J19" s="37">
        <v>90000</v>
      </c>
    </row>
    <row r="20" spans="2:17" x14ac:dyDescent="0.25">
      <c r="B20" s="3">
        <v>150858</v>
      </c>
      <c r="C20" s="2" t="s">
        <v>166</v>
      </c>
      <c r="D20" s="2" t="s">
        <v>167</v>
      </c>
      <c r="E20" s="36">
        <v>34846</v>
      </c>
      <c r="F20" s="3" t="s">
        <v>4</v>
      </c>
      <c r="G20" s="2" t="s">
        <v>3</v>
      </c>
      <c r="H20" s="2" t="s">
        <v>14</v>
      </c>
      <c r="I20" s="2" t="s">
        <v>6</v>
      </c>
      <c r="J20" s="37">
        <v>34000</v>
      </c>
      <c r="M20" s="42" t="s">
        <v>168</v>
      </c>
      <c r="N20" s="43"/>
    </row>
    <row r="21" spans="2:17" x14ac:dyDescent="0.25">
      <c r="B21" s="3">
        <v>150930</v>
      </c>
      <c r="C21" s="2" t="s">
        <v>169</v>
      </c>
      <c r="D21" s="2" t="s">
        <v>170</v>
      </c>
      <c r="E21" s="36">
        <v>37027</v>
      </c>
      <c r="F21" s="3" t="s">
        <v>4</v>
      </c>
      <c r="G21" s="2" t="s">
        <v>3</v>
      </c>
      <c r="H21" s="2" t="s">
        <v>19</v>
      </c>
      <c r="I21" s="2" t="s">
        <v>1</v>
      </c>
      <c r="J21" s="37">
        <v>82000</v>
      </c>
      <c r="M21" s="5" t="s">
        <v>171</v>
      </c>
      <c r="N21" s="5" t="s">
        <v>36</v>
      </c>
      <c r="O21" s="5" t="s">
        <v>1</v>
      </c>
      <c r="P21" s="5" t="s">
        <v>6</v>
      </c>
      <c r="Q21" s="5" t="s">
        <v>21</v>
      </c>
    </row>
    <row r="22" spans="2:17" x14ac:dyDescent="0.25">
      <c r="B22" s="3">
        <v>150894</v>
      </c>
      <c r="C22" s="2" t="s">
        <v>172</v>
      </c>
      <c r="D22" s="2" t="s">
        <v>173</v>
      </c>
      <c r="E22" s="36">
        <v>37124</v>
      </c>
      <c r="F22" s="3" t="s">
        <v>4</v>
      </c>
      <c r="G22" s="2" t="s">
        <v>3</v>
      </c>
      <c r="H22" s="2" t="s">
        <v>17</v>
      </c>
      <c r="I22" s="2" t="s">
        <v>1</v>
      </c>
      <c r="J22" s="37">
        <v>67000</v>
      </c>
      <c r="M22" s="2" t="s">
        <v>37</v>
      </c>
      <c r="N22" s="1">
        <f t="shared" ref="N22:N32" si="0">SUMIFS(Basic_Salary,Department,M22,Region,"north")</f>
        <v>48000</v>
      </c>
      <c r="O22" s="1">
        <f t="shared" ref="O22:O32" si="1">SUMIFS(Basic_Salary,Department,M22,Region,"South")</f>
        <v>62000</v>
      </c>
      <c r="P22" s="1">
        <f>SUMIFS(Basic_Salary,Department,M22,Region,"east")</f>
        <v>0</v>
      </c>
      <c r="Q22" s="1">
        <f t="shared" ref="Q22:Q32" si="2">SUMIFS(Basic_Salary,Department,M22,Region,"mid west")</f>
        <v>0</v>
      </c>
    </row>
    <row r="23" spans="2:17" x14ac:dyDescent="0.25">
      <c r="B23" s="3">
        <v>150947</v>
      </c>
      <c r="C23" s="2" t="s">
        <v>174</v>
      </c>
      <c r="D23" s="2" t="s">
        <v>175</v>
      </c>
      <c r="E23" s="36">
        <v>33449</v>
      </c>
      <c r="F23" s="3" t="s">
        <v>8</v>
      </c>
      <c r="G23" s="2" t="s">
        <v>3</v>
      </c>
      <c r="H23" s="2" t="s">
        <v>14</v>
      </c>
      <c r="I23" s="2" t="s">
        <v>1</v>
      </c>
      <c r="J23" s="37">
        <v>85000</v>
      </c>
      <c r="M23" s="2" t="s">
        <v>19</v>
      </c>
      <c r="N23" s="1">
        <f t="shared" si="0"/>
        <v>183000</v>
      </c>
      <c r="O23" s="1">
        <f t="shared" si="1"/>
        <v>82000</v>
      </c>
      <c r="P23" s="1">
        <f t="shared" ref="P22:P32" si="3">SUMIFS(Basic_Salary,Department,M23,Region,"east")</f>
        <v>92000</v>
      </c>
      <c r="Q23" s="1">
        <f t="shared" si="2"/>
        <v>45000</v>
      </c>
    </row>
    <row r="24" spans="2:17" x14ac:dyDescent="0.25">
      <c r="B24" s="3">
        <v>150905</v>
      </c>
      <c r="C24" s="2" t="s">
        <v>176</v>
      </c>
      <c r="D24" s="2" t="s">
        <v>177</v>
      </c>
      <c r="E24" s="36">
        <v>30819</v>
      </c>
      <c r="F24" s="3" t="s">
        <v>8</v>
      </c>
      <c r="G24" s="2" t="s">
        <v>39</v>
      </c>
      <c r="H24" s="2" t="s">
        <v>37</v>
      </c>
      <c r="I24" s="2" t="s">
        <v>1</v>
      </c>
      <c r="J24" s="37">
        <v>62000</v>
      </c>
      <c r="M24" s="2" t="s">
        <v>17</v>
      </c>
      <c r="N24" s="1">
        <f t="shared" si="0"/>
        <v>50000</v>
      </c>
      <c r="O24" s="1">
        <f t="shared" si="1"/>
        <v>154000</v>
      </c>
      <c r="P24" s="1">
        <f t="shared" si="3"/>
        <v>95000</v>
      </c>
      <c r="Q24" s="1">
        <f t="shared" si="2"/>
        <v>15000</v>
      </c>
    </row>
    <row r="25" spans="2:17" x14ac:dyDescent="0.25">
      <c r="B25" s="3">
        <v>150995</v>
      </c>
      <c r="C25" s="2" t="s">
        <v>178</v>
      </c>
      <c r="D25" s="2" t="s">
        <v>179</v>
      </c>
      <c r="E25" s="36">
        <v>35330</v>
      </c>
      <c r="F25" s="3" t="s">
        <v>4</v>
      </c>
      <c r="G25" s="2" t="s">
        <v>3</v>
      </c>
      <c r="H25" s="2" t="s">
        <v>17</v>
      </c>
      <c r="I25" s="2" t="s">
        <v>21</v>
      </c>
      <c r="J25" s="37">
        <v>15000</v>
      </c>
      <c r="M25" s="2" t="s">
        <v>7</v>
      </c>
      <c r="N25" s="1">
        <f t="shared" si="0"/>
        <v>22000</v>
      </c>
      <c r="O25" s="1">
        <f t="shared" si="1"/>
        <v>58000</v>
      </c>
      <c r="P25" s="1">
        <f t="shared" si="3"/>
        <v>27000</v>
      </c>
      <c r="Q25" s="1">
        <f t="shared" si="2"/>
        <v>47000</v>
      </c>
    </row>
    <row r="26" spans="2:17" x14ac:dyDescent="0.25">
      <c r="B26" s="3">
        <v>150912</v>
      </c>
      <c r="C26" s="2" t="s">
        <v>180</v>
      </c>
      <c r="D26" s="2" t="s">
        <v>181</v>
      </c>
      <c r="E26" s="36">
        <v>37629</v>
      </c>
      <c r="F26" s="3" t="s">
        <v>8</v>
      </c>
      <c r="G26" s="2" t="s">
        <v>3</v>
      </c>
      <c r="H26" s="2" t="s">
        <v>12</v>
      </c>
      <c r="I26" s="2" t="s">
        <v>1</v>
      </c>
      <c r="J26" s="37">
        <v>81000</v>
      </c>
      <c r="M26" s="2" t="s">
        <v>10</v>
      </c>
      <c r="N26" s="1">
        <f t="shared" si="0"/>
        <v>91000</v>
      </c>
      <c r="O26" s="1">
        <f t="shared" si="1"/>
        <v>87000</v>
      </c>
      <c r="P26" s="1">
        <f t="shared" si="3"/>
        <v>0</v>
      </c>
      <c r="Q26" s="1">
        <f t="shared" si="2"/>
        <v>0</v>
      </c>
    </row>
    <row r="27" spans="2:17" x14ac:dyDescent="0.25">
      <c r="B27" s="3">
        <v>150921</v>
      </c>
      <c r="C27" s="2" t="s">
        <v>182</v>
      </c>
      <c r="D27" s="2" t="s">
        <v>183</v>
      </c>
      <c r="E27" s="36">
        <v>38092</v>
      </c>
      <c r="F27" s="3" t="s">
        <v>4</v>
      </c>
      <c r="G27" s="2" t="s">
        <v>3</v>
      </c>
      <c r="H27" s="2" t="s">
        <v>2</v>
      </c>
      <c r="I27" s="2" t="s">
        <v>1</v>
      </c>
      <c r="J27" s="37">
        <v>19000</v>
      </c>
      <c r="M27" s="2" t="s">
        <v>22</v>
      </c>
      <c r="N27" s="1">
        <f t="shared" si="0"/>
        <v>0</v>
      </c>
      <c r="O27" s="1">
        <f t="shared" si="1"/>
        <v>37000</v>
      </c>
      <c r="P27" s="1">
        <f t="shared" si="3"/>
        <v>43000</v>
      </c>
      <c r="Q27" s="1">
        <f t="shared" si="2"/>
        <v>77000</v>
      </c>
    </row>
    <row r="28" spans="2:17" x14ac:dyDescent="0.25">
      <c r="B28" s="3">
        <v>150851</v>
      </c>
      <c r="C28" s="2" t="s">
        <v>184</v>
      </c>
      <c r="D28" s="2" t="s">
        <v>185</v>
      </c>
      <c r="E28" s="36">
        <v>29368</v>
      </c>
      <c r="F28" s="3" t="s">
        <v>4</v>
      </c>
      <c r="G28" s="2" t="s">
        <v>39</v>
      </c>
      <c r="H28" s="2" t="s">
        <v>17</v>
      </c>
      <c r="I28" s="2" t="s">
        <v>6</v>
      </c>
      <c r="J28" s="37">
        <v>75000</v>
      </c>
      <c r="M28" s="2" t="s">
        <v>34</v>
      </c>
      <c r="N28" s="1">
        <f t="shared" si="0"/>
        <v>0</v>
      </c>
      <c r="O28" s="1">
        <f t="shared" si="1"/>
        <v>0</v>
      </c>
      <c r="P28" s="1">
        <f t="shared" si="3"/>
        <v>90000</v>
      </c>
      <c r="Q28" s="1">
        <f t="shared" si="2"/>
        <v>0</v>
      </c>
    </row>
    <row r="29" spans="2:17" x14ac:dyDescent="0.25">
      <c r="B29" s="3">
        <v>150867</v>
      </c>
      <c r="C29" s="2" t="s">
        <v>186</v>
      </c>
      <c r="D29" s="2" t="s">
        <v>187</v>
      </c>
      <c r="E29" s="36">
        <v>29028</v>
      </c>
      <c r="F29" s="3" t="s">
        <v>8</v>
      </c>
      <c r="G29" s="2" t="s">
        <v>39</v>
      </c>
      <c r="H29" s="2" t="s">
        <v>2</v>
      </c>
      <c r="I29" s="2" t="s">
        <v>6</v>
      </c>
      <c r="J29" s="37">
        <v>49000</v>
      </c>
      <c r="M29" s="2" t="s">
        <v>14</v>
      </c>
      <c r="N29" s="1">
        <f t="shared" si="0"/>
        <v>26000</v>
      </c>
      <c r="O29" s="1">
        <f t="shared" si="1"/>
        <v>135000</v>
      </c>
      <c r="P29" s="1">
        <f t="shared" si="3"/>
        <v>81000</v>
      </c>
      <c r="Q29" s="1">
        <f t="shared" si="2"/>
        <v>0</v>
      </c>
    </row>
    <row r="30" spans="2:17" x14ac:dyDescent="0.25">
      <c r="B30" s="3">
        <v>150899</v>
      </c>
      <c r="C30" s="2" t="s">
        <v>188</v>
      </c>
      <c r="D30" s="2" t="s">
        <v>189</v>
      </c>
      <c r="E30" s="36">
        <v>37400</v>
      </c>
      <c r="F30" s="3" t="s">
        <v>4</v>
      </c>
      <c r="G30" s="2" t="s">
        <v>3</v>
      </c>
      <c r="H30" s="2" t="s">
        <v>14</v>
      </c>
      <c r="I30" s="2" t="s">
        <v>1</v>
      </c>
      <c r="J30" s="37">
        <v>50000</v>
      </c>
      <c r="M30" s="2" t="s">
        <v>12</v>
      </c>
      <c r="N30" s="1">
        <f t="shared" si="0"/>
        <v>0</v>
      </c>
      <c r="O30" s="1">
        <f t="shared" si="1"/>
        <v>146000</v>
      </c>
      <c r="P30" s="1">
        <f t="shared" si="3"/>
        <v>0</v>
      </c>
      <c r="Q30" s="1">
        <f t="shared" si="2"/>
        <v>0</v>
      </c>
    </row>
    <row r="31" spans="2:17" x14ac:dyDescent="0.25">
      <c r="B31" s="3">
        <v>150975</v>
      </c>
      <c r="C31" s="2" t="s">
        <v>190</v>
      </c>
      <c r="D31" s="2" t="s">
        <v>191</v>
      </c>
      <c r="E31" s="36">
        <v>31478</v>
      </c>
      <c r="F31" s="3" t="s">
        <v>4</v>
      </c>
      <c r="G31" s="2" t="s">
        <v>3</v>
      </c>
      <c r="H31" s="2" t="s">
        <v>2</v>
      </c>
      <c r="I31" s="2" t="s">
        <v>21</v>
      </c>
      <c r="J31" s="37">
        <v>83000</v>
      </c>
      <c r="M31" s="2" t="s">
        <v>2</v>
      </c>
      <c r="N31" s="1">
        <f t="shared" si="0"/>
        <v>85000</v>
      </c>
      <c r="O31" s="1">
        <f t="shared" si="1"/>
        <v>19000</v>
      </c>
      <c r="P31" s="1">
        <f t="shared" si="3"/>
        <v>49000</v>
      </c>
      <c r="Q31" s="1">
        <f t="shared" si="2"/>
        <v>83000</v>
      </c>
    </row>
    <row r="32" spans="2:17" x14ac:dyDescent="0.25">
      <c r="B32" s="3">
        <v>150901</v>
      </c>
      <c r="C32" s="2" t="s">
        <v>192</v>
      </c>
      <c r="D32" s="2" t="s">
        <v>193</v>
      </c>
      <c r="E32" s="36">
        <v>32946</v>
      </c>
      <c r="F32" s="3" t="s">
        <v>8</v>
      </c>
      <c r="G32" s="2" t="s">
        <v>3</v>
      </c>
      <c r="H32" s="2" t="s">
        <v>25</v>
      </c>
      <c r="I32" s="2" t="s">
        <v>1</v>
      </c>
      <c r="J32" s="37">
        <v>53000</v>
      </c>
      <c r="M32" s="2" t="s">
        <v>25</v>
      </c>
      <c r="N32" s="1">
        <f t="shared" si="0"/>
        <v>52000</v>
      </c>
      <c r="O32" s="1">
        <f t="shared" si="1"/>
        <v>110000</v>
      </c>
      <c r="P32" s="1">
        <f t="shared" si="3"/>
        <v>0</v>
      </c>
      <c r="Q32" s="1">
        <f t="shared" si="2"/>
        <v>0</v>
      </c>
    </row>
    <row r="33" spans="2:10" x14ac:dyDescent="0.25">
      <c r="B33" s="3">
        <v>150968</v>
      </c>
      <c r="C33" s="2" t="s">
        <v>194</v>
      </c>
      <c r="D33" s="2" t="s">
        <v>195</v>
      </c>
      <c r="E33" s="36">
        <v>37208</v>
      </c>
      <c r="F33" s="3" t="s">
        <v>4</v>
      </c>
      <c r="G33" s="2" t="s">
        <v>3</v>
      </c>
      <c r="H33" s="2" t="s">
        <v>12</v>
      </c>
      <c r="I33" s="2" t="s">
        <v>1</v>
      </c>
      <c r="J33" s="37">
        <v>65000</v>
      </c>
    </row>
    <row r="34" spans="2:10" x14ac:dyDescent="0.25">
      <c r="B34" s="3">
        <v>150773</v>
      </c>
      <c r="C34" s="2" t="s">
        <v>196</v>
      </c>
      <c r="D34" s="2" t="s">
        <v>197</v>
      </c>
      <c r="E34" s="36">
        <v>26860</v>
      </c>
      <c r="F34" s="3" t="s">
        <v>4</v>
      </c>
      <c r="G34" s="2" t="s">
        <v>3</v>
      </c>
      <c r="H34" s="2" t="s">
        <v>2</v>
      </c>
      <c r="I34" s="2" t="s">
        <v>36</v>
      </c>
      <c r="J34" s="37">
        <v>85000</v>
      </c>
    </row>
    <row r="35" spans="2:10" x14ac:dyDescent="0.25">
      <c r="B35" s="3">
        <v>150840</v>
      </c>
      <c r="C35" s="2" t="s">
        <v>169</v>
      </c>
      <c r="D35" s="2" t="s">
        <v>198</v>
      </c>
      <c r="E35" s="36">
        <v>23136</v>
      </c>
      <c r="F35" s="3" t="s">
        <v>8</v>
      </c>
      <c r="G35" s="2" t="s">
        <v>3</v>
      </c>
      <c r="H35" s="2" t="s">
        <v>17</v>
      </c>
      <c r="I35" s="2" t="s">
        <v>6</v>
      </c>
      <c r="J35" s="37">
        <v>20000</v>
      </c>
    </row>
    <row r="36" spans="2:10" x14ac:dyDescent="0.25">
      <c r="B36" s="3">
        <v>150850</v>
      </c>
      <c r="C36" s="2" t="s">
        <v>161</v>
      </c>
      <c r="D36" s="2" t="s">
        <v>199</v>
      </c>
      <c r="E36" s="36">
        <v>32027</v>
      </c>
      <c r="F36" s="3" t="s">
        <v>4</v>
      </c>
      <c r="G36" s="2" t="s">
        <v>3</v>
      </c>
      <c r="H36" s="2" t="s">
        <v>14</v>
      </c>
      <c r="I36" s="2" t="s">
        <v>6</v>
      </c>
      <c r="J36" s="37">
        <v>47000</v>
      </c>
    </row>
    <row r="37" spans="2:10" x14ac:dyDescent="0.25">
      <c r="B37" s="3">
        <v>150962</v>
      </c>
      <c r="C37" s="2" t="s">
        <v>200</v>
      </c>
      <c r="D37" s="2" t="s">
        <v>201</v>
      </c>
      <c r="E37" s="36">
        <v>37773</v>
      </c>
      <c r="F37" s="3" t="s">
        <v>8</v>
      </c>
      <c r="G37" s="2" t="s">
        <v>3</v>
      </c>
      <c r="H37" s="2" t="s">
        <v>10</v>
      </c>
      <c r="I37" s="2" t="s">
        <v>1</v>
      </c>
      <c r="J37" s="37">
        <v>87000</v>
      </c>
    </row>
    <row r="38" spans="2:10" x14ac:dyDescent="0.25">
      <c r="B38" s="3">
        <v>150954</v>
      </c>
      <c r="C38" s="2" t="s">
        <v>202</v>
      </c>
      <c r="D38" s="2" t="s">
        <v>201</v>
      </c>
      <c r="E38" s="36">
        <v>35495</v>
      </c>
      <c r="F38" s="3" t="s">
        <v>8</v>
      </c>
      <c r="G38" s="2" t="s">
        <v>3</v>
      </c>
      <c r="H38" s="2" t="s">
        <v>25</v>
      </c>
      <c r="I38" s="2" t="s">
        <v>1</v>
      </c>
      <c r="J38" s="37">
        <v>57000</v>
      </c>
    </row>
    <row r="39" spans="2:10" x14ac:dyDescent="0.25">
      <c r="B39" s="3">
        <v>150874</v>
      </c>
      <c r="C39" s="2" t="s">
        <v>203</v>
      </c>
      <c r="D39" s="2" t="s">
        <v>201</v>
      </c>
      <c r="E39" s="36">
        <v>37890</v>
      </c>
      <c r="F39" s="3" t="s">
        <v>8</v>
      </c>
      <c r="G39" s="2" t="s">
        <v>3</v>
      </c>
      <c r="H39" s="2" t="s">
        <v>7</v>
      </c>
      <c r="I39" s="2" t="s">
        <v>6</v>
      </c>
      <c r="J39" s="37">
        <v>27000</v>
      </c>
    </row>
    <row r="40" spans="2:10" x14ac:dyDescent="0.25">
      <c r="B40" s="3">
        <v>150798</v>
      </c>
      <c r="C40" s="2" t="s">
        <v>204</v>
      </c>
      <c r="D40" s="2" t="s">
        <v>201</v>
      </c>
      <c r="E40" s="36">
        <v>28276</v>
      </c>
      <c r="F40" s="3" t="s">
        <v>8</v>
      </c>
      <c r="G40" s="2" t="s">
        <v>3</v>
      </c>
      <c r="H40" s="2" t="s">
        <v>19</v>
      </c>
      <c r="I40" s="2" t="s">
        <v>36</v>
      </c>
      <c r="J40" s="37">
        <v>81000</v>
      </c>
    </row>
    <row r="41" spans="2:10" x14ac:dyDescent="0.25">
      <c r="B41" s="3">
        <v>150830</v>
      </c>
      <c r="C41" s="2" t="s">
        <v>205</v>
      </c>
      <c r="D41" s="2" t="s">
        <v>206</v>
      </c>
      <c r="E41" s="36">
        <v>29037</v>
      </c>
      <c r="F41" s="3" t="s">
        <v>8</v>
      </c>
      <c r="G41" s="2" t="s">
        <v>3</v>
      </c>
      <c r="H41" s="2" t="s">
        <v>25</v>
      </c>
      <c r="I41" s="2" t="s">
        <v>36</v>
      </c>
      <c r="J41" s="37">
        <v>52000</v>
      </c>
    </row>
    <row r="42" spans="2:10" x14ac:dyDescent="0.25">
      <c r="B42" s="3">
        <v>150929</v>
      </c>
      <c r="C42" s="2" t="s">
        <v>207</v>
      </c>
      <c r="D42" s="2" t="s">
        <v>208</v>
      </c>
      <c r="E42" s="36">
        <v>26739</v>
      </c>
      <c r="F42" s="3" t="s">
        <v>4</v>
      </c>
      <c r="G42" s="2" t="s">
        <v>3</v>
      </c>
      <c r="H42" s="2" t="s">
        <v>7</v>
      </c>
      <c r="I42" s="2" t="s">
        <v>1</v>
      </c>
      <c r="J42" s="37">
        <v>58000</v>
      </c>
    </row>
    <row r="43" spans="2:10" x14ac:dyDescent="0.25">
      <c r="B43" s="3">
        <v>150982</v>
      </c>
      <c r="C43" s="2" t="s">
        <v>209</v>
      </c>
      <c r="D43" s="2" t="s">
        <v>210</v>
      </c>
      <c r="E43" s="36">
        <v>35574</v>
      </c>
      <c r="F43" s="3" t="s">
        <v>4</v>
      </c>
      <c r="G43" s="2" t="s">
        <v>3</v>
      </c>
      <c r="H43" s="2" t="s">
        <v>7</v>
      </c>
      <c r="I43" s="2" t="s">
        <v>21</v>
      </c>
      <c r="J43" s="37">
        <v>47000</v>
      </c>
    </row>
    <row r="44" spans="2:10" x14ac:dyDescent="0.25">
      <c r="B44" s="3">
        <v>150821</v>
      </c>
      <c r="C44" s="2" t="s">
        <v>211</v>
      </c>
      <c r="D44" s="2" t="s">
        <v>212</v>
      </c>
      <c r="E44" s="36">
        <v>29966</v>
      </c>
      <c r="F44" s="3" t="s">
        <v>4</v>
      </c>
      <c r="G44" s="2" t="s">
        <v>39</v>
      </c>
      <c r="H44" s="2" t="s">
        <v>14</v>
      </c>
      <c r="I44" s="2" t="s">
        <v>36</v>
      </c>
      <c r="J44" s="37">
        <v>26000</v>
      </c>
    </row>
  </sheetData>
  <mergeCells count="3">
    <mergeCell ref="M2:N2"/>
    <mergeCell ref="M10:N10"/>
    <mergeCell ref="M20:N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"/>
  <sheetViews>
    <sheetView workbookViewId="0">
      <selection activeCell="R37" sqref="R37"/>
    </sheetView>
  </sheetViews>
  <sheetFormatPr defaultRowHeight="15" x14ac:dyDescent="0.25"/>
  <cols>
    <col min="2" max="2" width="14.140625" bestFit="1" customWidth="1"/>
    <col min="3" max="3" width="18.7109375" customWidth="1"/>
    <col min="4" max="4" width="10.7109375" bestFit="1" customWidth="1"/>
    <col min="6" max="6" width="10.85546875" bestFit="1" customWidth="1"/>
    <col min="7" max="7" width="23.42578125" bestFit="1" customWidth="1"/>
    <col min="8" max="8" width="14.140625" bestFit="1" customWidth="1"/>
    <col min="10" max="10" width="18.28515625" bestFit="1" customWidth="1"/>
  </cols>
  <sheetData>
    <row r="1" spans="1:15" ht="15.75" x14ac:dyDescent="0.25">
      <c r="B1" s="34"/>
      <c r="C1" s="35" t="s">
        <v>213</v>
      </c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5" x14ac:dyDescent="0.25">
      <c r="B2" s="34">
        <v>1</v>
      </c>
      <c r="C2" s="34" t="s">
        <v>214</v>
      </c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5" x14ac:dyDescent="0.25">
      <c r="B3" s="34">
        <v>2</v>
      </c>
      <c r="C3" s="34" t="s">
        <v>215</v>
      </c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5" x14ac:dyDescent="0.25">
      <c r="B4" s="34">
        <v>3</v>
      </c>
      <c r="C4" s="34" t="s">
        <v>216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5" x14ac:dyDescent="0.25">
      <c r="B5" s="34">
        <v>4</v>
      </c>
      <c r="C5" s="34" t="s">
        <v>217</v>
      </c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5" x14ac:dyDescent="0.25">
      <c r="B6" s="34">
        <v>5</v>
      </c>
      <c r="C6" s="34" t="s">
        <v>218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5" x14ac:dyDescent="0.25">
      <c r="B7" s="34">
        <v>6</v>
      </c>
      <c r="C7" s="34" t="s">
        <v>219</v>
      </c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5" x14ac:dyDescent="0.25">
      <c r="B8" s="28"/>
      <c r="C8" s="28"/>
    </row>
    <row r="10" spans="1:15" s="30" customFormat="1" x14ac:dyDescent="0.25">
      <c r="A10" s="5" t="s">
        <v>130</v>
      </c>
      <c r="B10" s="5" t="s">
        <v>131</v>
      </c>
      <c r="C10" s="5" t="s">
        <v>132</v>
      </c>
      <c r="D10" s="5" t="s">
        <v>74</v>
      </c>
      <c r="E10" s="5" t="s">
        <v>63</v>
      </c>
      <c r="F10" s="5" t="s">
        <v>62</v>
      </c>
      <c r="G10" s="5" t="s">
        <v>61</v>
      </c>
      <c r="H10" s="5" t="s">
        <v>59</v>
      </c>
      <c r="I10" s="5" t="s">
        <v>60</v>
      </c>
      <c r="J10" s="29">
        <v>1</v>
      </c>
      <c r="K10" s="29">
        <v>2</v>
      </c>
      <c r="L10" s="29">
        <v>3</v>
      </c>
      <c r="M10" s="29">
        <v>4</v>
      </c>
      <c r="N10" s="29">
        <v>5</v>
      </c>
      <c r="O10" s="31">
        <v>6</v>
      </c>
    </row>
    <row r="11" spans="1:15" x14ac:dyDescent="0.25">
      <c r="A11" s="3">
        <v>150773</v>
      </c>
      <c r="B11" s="2" t="s">
        <v>196</v>
      </c>
      <c r="C11" s="2" t="s">
        <v>197</v>
      </c>
      <c r="D11" s="4">
        <v>26860</v>
      </c>
      <c r="E11" s="3" t="s">
        <v>4</v>
      </c>
      <c r="F11" s="2" t="s">
        <v>3</v>
      </c>
      <c r="G11" s="2" t="s">
        <v>2</v>
      </c>
      <c r="H11" s="1">
        <v>85000</v>
      </c>
      <c r="I11" s="2" t="s">
        <v>36</v>
      </c>
      <c r="J11" s="31" t="str">
        <f t="shared" ref="J11:J48" si="0">IF(AND(Gender="Female",Basic_Salary&lt;50000),"Eligible for Gift","Not Eligible for Gift")</f>
        <v>Not Eligible for Gift</v>
      </c>
      <c r="K11" s="31">
        <f t="shared" ref="K11:K48" si="1">IF(AND(Basic_Salary&lt;30000,Department="CCD"),9000,0)</f>
        <v>0</v>
      </c>
      <c r="L11" s="31" t="str">
        <f>IF(YEAR(D11)&lt;=1980,"Retrire","Not Retire")</f>
        <v>Retrire</v>
      </c>
      <c r="M11" s="31">
        <f t="shared" ref="M11:M48" si="2">IF(AND(Department="sales",Basic_Salary&lt;45000),25000,IF(AND(Department="marketing",Basic_Salary&lt;45000),25000,10000))</f>
        <v>10000</v>
      </c>
      <c r="N11" s="31">
        <f t="shared" ref="N11:N48" si="3">IF(OR(Department="director",Department="CEO"),"",1500)</f>
        <v>1500</v>
      </c>
      <c r="O11" s="31">
        <f t="shared" ref="O11:O48" si="4">_xlfn.IFS(Region="north",5000,Region="south",4000,Region="east",4200,Region="mid west",3800)</f>
        <v>5000</v>
      </c>
    </row>
    <row r="12" spans="1:15" x14ac:dyDescent="0.25">
      <c r="A12" s="3">
        <v>150777</v>
      </c>
      <c r="B12" s="2" t="s">
        <v>145</v>
      </c>
      <c r="C12" s="2" t="s">
        <v>146</v>
      </c>
      <c r="D12" s="4">
        <v>21123</v>
      </c>
      <c r="E12" s="3" t="s">
        <v>4</v>
      </c>
      <c r="F12" s="2" t="s">
        <v>3</v>
      </c>
      <c r="G12" s="2" t="s">
        <v>7</v>
      </c>
      <c r="H12" s="1">
        <v>22000</v>
      </c>
      <c r="I12" s="2" t="s">
        <v>36</v>
      </c>
      <c r="J12" s="31" t="str">
        <f t="shared" si="0"/>
        <v>Not Eligible for Gift</v>
      </c>
      <c r="K12" s="31">
        <f t="shared" si="1"/>
        <v>0</v>
      </c>
      <c r="L12" s="31" t="str">
        <f t="shared" ref="L12:L48" si="5">IF(YEAR(D12)&lt;=1980,"Retrire","Not Retire")</f>
        <v>Retrire</v>
      </c>
      <c r="M12" s="31">
        <f t="shared" si="2"/>
        <v>25000</v>
      </c>
      <c r="N12" s="31">
        <f t="shared" si="3"/>
        <v>1500</v>
      </c>
      <c r="O12" s="31">
        <f t="shared" si="4"/>
        <v>5000</v>
      </c>
    </row>
    <row r="13" spans="1:15" x14ac:dyDescent="0.25">
      <c r="A13" s="3">
        <v>150784</v>
      </c>
      <c r="B13" s="2" t="s">
        <v>137</v>
      </c>
      <c r="C13" s="2" t="s">
        <v>138</v>
      </c>
      <c r="D13" s="4">
        <v>28365</v>
      </c>
      <c r="E13" s="3" t="s">
        <v>8</v>
      </c>
      <c r="F13" s="2" t="s">
        <v>39</v>
      </c>
      <c r="G13" s="2" t="s">
        <v>19</v>
      </c>
      <c r="H13" s="1">
        <v>35000</v>
      </c>
      <c r="I13" s="2" t="s">
        <v>36</v>
      </c>
      <c r="J13" s="31" t="str">
        <f t="shared" si="0"/>
        <v>Eligible for Gift</v>
      </c>
      <c r="K13" s="31">
        <f t="shared" si="1"/>
        <v>0</v>
      </c>
      <c r="L13" s="31" t="str">
        <f t="shared" si="5"/>
        <v>Retrire</v>
      </c>
      <c r="M13" s="31">
        <f t="shared" si="2"/>
        <v>10000</v>
      </c>
      <c r="N13" s="31">
        <f t="shared" si="3"/>
        <v>1500</v>
      </c>
      <c r="O13" s="31">
        <f t="shared" si="4"/>
        <v>5000</v>
      </c>
    </row>
    <row r="14" spans="1:15" x14ac:dyDescent="0.25">
      <c r="A14" s="3">
        <v>150791</v>
      </c>
      <c r="B14" s="2" t="s">
        <v>140</v>
      </c>
      <c r="C14" s="2" t="s">
        <v>141</v>
      </c>
      <c r="D14" s="4">
        <v>23346</v>
      </c>
      <c r="E14" s="3" t="s">
        <v>8</v>
      </c>
      <c r="F14" s="2" t="s">
        <v>3</v>
      </c>
      <c r="G14" s="2" t="s">
        <v>19</v>
      </c>
      <c r="H14" s="1">
        <v>67000</v>
      </c>
      <c r="I14" s="2" t="s">
        <v>1</v>
      </c>
      <c r="J14" s="31" t="str">
        <f t="shared" si="0"/>
        <v>Not Eligible for Gift</v>
      </c>
      <c r="K14" s="31">
        <f t="shared" si="1"/>
        <v>0</v>
      </c>
      <c r="L14" s="31" t="str">
        <f t="shared" si="5"/>
        <v>Retrire</v>
      </c>
      <c r="M14" s="31">
        <f t="shared" si="2"/>
        <v>10000</v>
      </c>
      <c r="N14" s="31">
        <f t="shared" si="3"/>
        <v>1500</v>
      </c>
      <c r="O14" s="31">
        <f t="shared" si="4"/>
        <v>4000</v>
      </c>
    </row>
    <row r="15" spans="1:15" x14ac:dyDescent="0.25">
      <c r="A15" s="3">
        <v>150798</v>
      </c>
      <c r="B15" s="2" t="s">
        <v>204</v>
      </c>
      <c r="C15" s="2" t="s">
        <v>201</v>
      </c>
      <c r="D15" s="4">
        <v>28276</v>
      </c>
      <c r="E15" s="3" t="s">
        <v>8</v>
      </c>
      <c r="F15" s="2" t="s">
        <v>3</v>
      </c>
      <c r="G15" s="2" t="s">
        <v>19</v>
      </c>
      <c r="H15" s="1">
        <v>81000</v>
      </c>
      <c r="I15" s="2" t="s">
        <v>36</v>
      </c>
      <c r="J15" s="31" t="str">
        <f t="shared" si="0"/>
        <v>Not Eligible for Gift</v>
      </c>
      <c r="K15" s="31">
        <f t="shared" si="1"/>
        <v>0</v>
      </c>
      <c r="L15" s="31" t="str">
        <f t="shared" si="5"/>
        <v>Retrire</v>
      </c>
      <c r="M15" s="31">
        <f t="shared" si="2"/>
        <v>10000</v>
      </c>
      <c r="N15" s="31">
        <f t="shared" si="3"/>
        <v>1500</v>
      </c>
      <c r="O15" s="31">
        <f t="shared" si="4"/>
        <v>5000</v>
      </c>
    </row>
    <row r="16" spans="1:15" x14ac:dyDescent="0.25">
      <c r="A16" s="3">
        <v>150805</v>
      </c>
      <c r="B16" s="2" t="s">
        <v>140</v>
      </c>
      <c r="C16" s="2" t="s">
        <v>148</v>
      </c>
      <c r="D16" s="4">
        <v>26172</v>
      </c>
      <c r="E16" s="3" t="s">
        <v>4</v>
      </c>
      <c r="F16" s="2" t="s">
        <v>3</v>
      </c>
      <c r="G16" s="2" t="s">
        <v>10</v>
      </c>
      <c r="H16" s="1">
        <v>91000</v>
      </c>
      <c r="I16" s="2" t="s">
        <v>36</v>
      </c>
      <c r="J16" s="31" t="str">
        <f t="shared" si="0"/>
        <v>Not Eligible for Gift</v>
      </c>
      <c r="K16" s="31">
        <f t="shared" si="1"/>
        <v>0</v>
      </c>
      <c r="L16" s="31" t="str">
        <f t="shared" si="5"/>
        <v>Retrire</v>
      </c>
      <c r="M16" s="31">
        <f t="shared" si="2"/>
        <v>10000</v>
      </c>
      <c r="N16" s="31" t="str">
        <f t="shared" si="3"/>
        <v/>
      </c>
      <c r="O16" s="31">
        <f t="shared" si="4"/>
        <v>5000</v>
      </c>
    </row>
    <row r="17" spans="1:15" x14ac:dyDescent="0.25">
      <c r="A17" s="3">
        <v>150814</v>
      </c>
      <c r="B17" s="2" t="s">
        <v>158</v>
      </c>
      <c r="C17" s="2" t="s">
        <v>159</v>
      </c>
      <c r="D17" s="4">
        <v>26246</v>
      </c>
      <c r="E17" s="3" t="s">
        <v>4</v>
      </c>
      <c r="F17" s="2" t="s">
        <v>3</v>
      </c>
      <c r="G17" s="2" t="s">
        <v>17</v>
      </c>
      <c r="H17" s="1">
        <v>50000</v>
      </c>
      <c r="I17" s="2" t="s">
        <v>21</v>
      </c>
      <c r="J17" s="31" t="str">
        <f t="shared" si="0"/>
        <v>Not Eligible for Gift</v>
      </c>
      <c r="K17" s="31">
        <f t="shared" si="1"/>
        <v>0</v>
      </c>
      <c r="L17" s="31" t="str">
        <f t="shared" si="5"/>
        <v>Retrire</v>
      </c>
      <c r="M17" s="31">
        <f t="shared" si="2"/>
        <v>10000</v>
      </c>
      <c r="N17" s="31">
        <f t="shared" si="3"/>
        <v>1500</v>
      </c>
      <c r="O17" s="31">
        <f t="shared" si="4"/>
        <v>3800</v>
      </c>
    </row>
    <row r="18" spans="1:15" x14ac:dyDescent="0.25">
      <c r="A18" s="3">
        <v>150821</v>
      </c>
      <c r="B18" s="2" t="s">
        <v>211</v>
      </c>
      <c r="C18" s="2" t="s">
        <v>212</v>
      </c>
      <c r="D18" s="4">
        <v>29966</v>
      </c>
      <c r="E18" s="3" t="s">
        <v>4</v>
      </c>
      <c r="F18" s="2" t="s">
        <v>39</v>
      </c>
      <c r="G18" s="2" t="s">
        <v>14</v>
      </c>
      <c r="H18" s="1">
        <v>26000</v>
      </c>
      <c r="I18" s="2" t="s">
        <v>21</v>
      </c>
      <c r="J18" s="31" t="str">
        <f t="shared" si="0"/>
        <v>Not Eligible for Gift</v>
      </c>
      <c r="K18" s="31">
        <f t="shared" si="1"/>
        <v>9000</v>
      </c>
      <c r="L18" s="31" t="str">
        <f t="shared" si="5"/>
        <v>Not Retire</v>
      </c>
      <c r="M18" s="31">
        <f t="shared" si="2"/>
        <v>10000</v>
      </c>
      <c r="N18" s="31">
        <f t="shared" si="3"/>
        <v>1500</v>
      </c>
      <c r="O18" s="31">
        <f t="shared" si="4"/>
        <v>3800</v>
      </c>
    </row>
    <row r="19" spans="1:15" x14ac:dyDescent="0.25">
      <c r="A19" s="3">
        <v>150830</v>
      </c>
      <c r="B19" s="2" t="s">
        <v>205</v>
      </c>
      <c r="C19" s="2" t="s">
        <v>206</v>
      </c>
      <c r="D19" s="4">
        <v>29037</v>
      </c>
      <c r="E19" s="3" t="s">
        <v>8</v>
      </c>
      <c r="F19" s="2" t="s">
        <v>3</v>
      </c>
      <c r="G19" s="2" t="s">
        <v>25</v>
      </c>
      <c r="H19" s="1">
        <v>52000</v>
      </c>
      <c r="I19" s="2" t="s">
        <v>6</v>
      </c>
      <c r="J19" s="31" t="str">
        <f t="shared" si="0"/>
        <v>Not Eligible for Gift</v>
      </c>
      <c r="K19" s="31">
        <f t="shared" si="1"/>
        <v>0</v>
      </c>
      <c r="L19" s="31" t="str">
        <f t="shared" si="5"/>
        <v>Retrire</v>
      </c>
      <c r="M19" s="31">
        <f t="shared" si="2"/>
        <v>10000</v>
      </c>
      <c r="N19" s="31">
        <f t="shared" si="3"/>
        <v>1500</v>
      </c>
      <c r="O19" s="31">
        <f t="shared" si="4"/>
        <v>4200</v>
      </c>
    </row>
    <row r="20" spans="1:15" x14ac:dyDescent="0.25">
      <c r="A20" s="3">
        <v>150834</v>
      </c>
      <c r="B20" s="2" t="s">
        <v>134</v>
      </c>
      <c r="C20" s="2" t="s">
        <v>135</v>
      </c>
      <c r="D20" s="4">
        <v>31199</v>
      </c>
      <c r="E20" s="3" t="s">
        <v>8</v>
      </c>
      <c r="F20" s="2" t="s">
        <v>3</v>
      </c>
      <c r="G20" s="2" t="s">
        <v>37</v>
      </c>
      <c r="H20" s="1">
        <v>48000</v>
      </c>
      <c r="I20" s="2" t="s">
        <v>36</v>
      </c>
      <c r="J20" s="31" t="str">
        <f t="shared" si="0"/>
        <v>Eligible for Gift</v>
      </c>
      <c r="K20" s="31">
        <f t="shared" si="1"/>
        <v>0</v>
      </c>
      <c r="L20" s="31" t="str">
        <f t="shared" si="5"/>
        <v>Not Retire</v>
      </c>
      <c r="M20" s="31">
        <f t="shared" si="2"/>
        <v>10000</v>
      </c>
      <c r="N20" s="31">
        <f t="shared" si="3"/>
        <v>1500</v>
      </c>
      <c r="O20" s="31">
        <f t="shared" si="4"/>
        <v>5000</v>
      </c>
    </row>
    <row r="21" spans="1:15" x14ac:dyDescent="0.25">
      <c r="A21" s="3">
        <v>150840</v>
      </c>
      <c r="B21" s="2" t="s">
        <v>169</v>
      </c>
      <c r="C21" s="2" t="s">
        <v>198</v>
      </c>
      <c r="D21" s="4">
        <v>23136</v>
      </c>
      <c r="E21" s="3" t="s">
        <v>8</v>
      </c>
      <c r="F21" s="2" t="s">
        <v>3</v>
      </c>
      <c r="G21" s="2" t="s">
        <v>17</v>
      </c>
      <c r="H21" s="1">
        <v>20000</v>
      </c>
      <c r="I21" s="2" t="s">
        <v>1</v>
      </c>
      <c r="J21" s="31" t="str">
        <f t="shared" si="0"/>
        <v>Eligible for Gift</v>
      </c>
      <c r="K21" s="31">
        <f t="shared" si="1"/>
        <v>0</v>
      </c>
      <c r="L21" s="31" t="str">
        <f t="shared" si="5"/>
        <v>Retrire</v>
      </c>
      <c r="M21" s="31">
        <f t="shared" si="2"/>
        <v>10000</v>
      </c>
      <c r="N21" s="31">
        <f t="shared" si="3"/>
        <v>1500</v>
      </c>
      <c r="O21" s="31">
        <f t="shared" si="4"/>
        <v>4000</v>
      </c>
    </row>
    <row r="22" spans="1:15" x14ac:dyDescent="0.25">
      <c r="A22" s="3">
        <v>150850</v>
      </c>
      <c r="B22" s="2" t="s">
        <v>161</v>
      </c>
      <c r="C22" s="2" t="s">
        <v>199</v>
      </c>
      <c r="D22" s="4">
        <v>32027</v>
      </c>
      <c r="E22" s="3" t="s">
        <v>4</v>
      </c>
      <c r="F22" s="2" t="s">
        <v>3</v>
      </c>
      <c r="G22" s="2" t="s">
        <v>14</v>
      </c>
      <c r="H22" s="1">
        <v>47000</v>
      </c>
      <c r="I22" s="2" t="s">
        <v>6</v>
      </c>
      <c r="J22" s="31" t="str">
        <f t="shared" si="0"/>
        <v>Not Eligible for Gift</v>
      </c>
      <c r="K22" s="31">
        <f t="shared" si="1"/>
        <v>0</v>
      </c>
      <c r="L22" s="31" t="str">
        <f t="shared" si="5"/>
        <v>Not Retire</v>
      </c>
      <c r="M22" s="31">
        <f t="shared" si="2"/>
        <v>10000</v>
      </c>
      <c r="N22" s="31">
        <f t="shared" si="3"/>
        <v>1500</v>
      </c>
      <c r="O22" s="31">
        <f t="shared" si="4"/>
        <v>4200</v>
      </c>
    </row>
    <row r="23" spans="1:15" x14ac:dyDescent="0.25">
      <c r="A23" s="3">
        <v>150851</v>
      </c>
      <c r="B23" s="2" t="s">
        <v>184</v>
      </c>
      <c r="C23" s="2" t="s">
        <v>185</v>
      </c>
      <c r="D23" s="4">
        <v>29368</v>
      </c>
      <c r="E23" s="3" t="s">
        <v>4</v>
      </c>
      <c r="F23" s="2" t="s">
        <v>39</v>
      </c>
      <c r="G23" s="2" t="s">
        <v>17</v>
      </c>
      <c r="H23" s="1">
        <v>75000</v>
      </c>
      <c r="I23" s="2" t="s">
        <v>6</v>
      </c>
      <c r="J23" s="31" t="str">
        <f t="shared" si="0"/>
        <v>Not Eligible for Gift</v>
      </c>
      <c r="K23" s="31">
        <f t="shared" si="1"/>
        <v>0</v>
      </c>
      <c r="L23" s="31" t="str">
        <f t="shared" si="5"/>
        <v>Retrire</v>
      </c>
      <c r="M23" s="31">
        <f t="shared" si="2"/>
        <v>10000</v>
      </c>
      <c r="N23" s="31">
        <f t="shared" si="3"/>
        <v>1500</v>
      </c>
      <c r="O23" s="31">
        <f t="shared" si="4"/>
        <v>4200</v>
      </c>
    </row>
    <row r="24" spans="1:15" x14ac:dyDescent="0.25">
      <c r="A24" s="3">
        <v>150858</v>
      </c>
      <c r="B24" s="2" t="s">
        <v>166</v>
      </c>
      <c r="C24" s="2" t="s">
        <v>167</v>
      </c>
      <c r="D24" s="4">
        <v>34846</v>
      </c>
      <c r="E24" s="3" t="s">
        <v>4</v>
      </c>
      <c r="F24" s="2" t="s">
        <v>3</v>
      </c>
      <c r="G24" s="2" t="s">
        <v>14</v>
      </c>
      <c r="H24" s="1">
        <v>34000</v>
      </c>
      <c r="I24" s="2" t="s">
        <v>6</v>
      </c>
      <c r="J24" s="31" t="str">
        <f t="shared" si="0"/>
        <v>Not Eligible for Gift</v>
      </c>
      <c r="K24" s="31">
        <f t="shared" si="1"/>
        <v>0</v>
      </c>
      <c r="L24" s="31" t="str">
        <f t="shared" si="5"/>
        <v>Not Retire</v>
      </c>
      <c r="M24" s="31">
        <f t="shared" si="2"/>
        <v>10000</v>
      </c>
      <c r="N24" s="31">
        <f t="shared" si="3"/>
        <v>1500</v>
      </c>
      <c r="O24" s="31">
        <f t="shared" si="4"/>
        <v>4200</v>
      </c>
    </row>
    <row r="25" spans="1:15" x14ac:dyDescent="0.25">
      <c r="A25" s="3">
        <v>150865</v>
      </c>
      <c r="B25" s="2" t="s">
        <v>165</v>
      </c>
      <c r="C25" s="2" t="s">
        <v>164</v>
      </c>
      <c r="D25" s="4">
        <v>31279</v>
      </c>
      <c r="E25" s="3" t="s">
        <v>8</v>
      </c>
      <c r="F25" s="2" t="s">
        <v>3</v>
      </c>
      <c r="G25" s="2" t="s">
        <v>34</v>
      </c>
      <c r="H25" s="1">
        <v>90000</v>
      </c>
      <c r="I25" s="2" t="s">
        <v>1</v>
      </c>
      <c r="J25" s="31" t="str">
        <f t="shared" si="0"/>
        <v>Not Eligible for Gift</v>
      </c>
      <c r="K25" s="31">
        <f t="shared" si="1"/>
        <v>0</v>
      </c>
      <c r="L25" s="31" t="str">
        <f t="shared" si="5"/>
        <v>Not Retire</v>
      </c>
      <c r="M25" s="31">
        <f t="shared" si="2"/>
        <v>10000</v>
      </c>
      <c r="N25" s="31" t="str">
        <f t="shared" si="3"/>
        <v/>
      </c>
      <c r="O25" s="31">
        <f t="shared" si="4"/>
        <v>4000</v>
      </c>
    </row>
    <row r="26" spans="1:15" x14ac:dyDescent="0.25">
      <c r="A26" s="3">
        <v>150867</v>
      </c>
      <c r="B26" s="2" t="s">
        <v>186</v>
      </c>
      <c r="C26" s="2" t="s">
        <v>187</v>
      </c>
      <c r="D26" s="4">
        <v>29028</v>
      </c>
      <c r="E26" s="3" t="s">
        <v>8</v>
      </c>
      <c r="F26" s="2" t="s">
        <v>39</v>
      </c>
      <c r="G26" s="2" t="s">
        <v>2</v>
      </c>
      <c r="H26" s="1">
        <v>49000</v>
      </c>
      <c r="I26" s="2" t="s">
        <v>1</v>
      </c>
      <c r="J26" s="31" t="str">
        <f t="shared" si="0"/>
        <v>Eligible for Gift</v>
      </c>
      <c r="K26" s="31">
        <f t="shared" si="1"/>
        <v>0</v>
      </c>
      <c r="L26" s="31" t="str">
        <f t="shared" si="5"/>
        <v>Retrire</v>
      </c>
      <c r="M26" s="31">
        <f t="shared" si="2"/>
        <v>10000</v>
      </c>
      <c r="N26" s="31">
        <f t="shared" si="3"/>
        <v>1500</v>
      </c>
      <c r="O26" s="31">
        <f t="shared" si="4"/>
        <v>4000</v>
      </c>
    </row>
    <row r="27" spans="1:15" x14ac:dyDescent="0.25">
      <c r="A27" s="3">
        <v>150874</v>
      </c>
      <c r="B27" s="2" t="s">
        <v>203</v>
      </c>
      <c r="C27" s="2" t="s">
        <v>201</v>
      </c>
      <c r="D27" s="4">
        <v>37890</v>
      </c>
      <c r="E27" s="3" t="s">
        <v>8</v>
      </c>
      <c r="F27" s="2" t="s">
        <v>3</v>
      </c>
      <c r="G27" s="2" t="s">
        <v>7</v>
      </c>
      <c r="H27" s="1">
        <v>27000</v>
      </c>
      <c r="I27" s="2" t="s">
        <v>1</v>
      </c>
      <c r="J27" s="31" t="str">
        <f t="shared" si="0"/>
        <v>Eligible for Gift</v>
      </c>
      <c r="K27" s="31">
        <f t="shared" si="1"/>
        <v>0</v>
      </c>
      <c r="L27" s="31" t="str">
        <f t="shared" si="5"/>
        <v>Not Retire</v>
      </c>
      <c r="M27" s="31">
        <f t="shared" si="2"/>
        <v>25000</v>
      </c>
      <c r="N27" s="31">
        <f t="shared" si="3"/>
        <v>1500</v>
      </c>
      <c r="O27" s="31">
        <f t="shared" si="4"/>
        <v>4000</v>
      </c>
    </row>
    <row r="28" spans="1:15" x14ac:dyDescent="0.25">
      <c r="A28" s="3">
        <v>150881</v>
      </c>
      <c r="B28" s="2" t="s">
        <v>155</v>
      </c>
      <c r="C28" s="2" t="s">
        <v>156</v>
      </c>
      <c r="D28" s="4">
        <v>30337</v>
      </c>
      <c r="E28" s="3" t="s">
        <v>4</v>
      </c>
      <c r="F28" s="2" t="s">
        <v>39</v>
      </c>
      <c r="G28" s="2" t="s">
        <v>19</v>
      </c>
      <c r="H28" s="1">
        <v>92000</v>
      </c>
      <c r="I28" s="2" t="s">
        <v>1</v>
      </c>
      <c r="J28" s="31" t="str">
        <f t="shared" si="0"/>
        <v>Not Eligible for Gift</v>
      </c>
      <c r="K28" s="31">
        <f t="shared" si="1"/>
        <v>0</v>
      </c>
      <c r="L28" s="31" t="str">
        <f t="shared" si="5"/>
        <v>Not Retire</v>
      </c>
      <c r="M28" s="31">
        <f t="shared" si="2"/>
        <v>10000</v>
      </c>
      <c r="N28" s="31">
        <f t="shared" si="3"/>
        <v>1500</v>
      </c>
      <c r="O28" s="31">
        <f t="shared" si="4"/>
        <v>4000</v>
      </c>
    </row>
    <row r="29" spans="1:15" x14ac:dyDescent="0.25">
      <c r="A29" s="3">
        <v>150888</v>
      </c>
      <c r="B29" s="2" t="s">
        <v>163</v>
      </c>
      <c r="C29" s="2" t="s">
        <v>164</v>
      </c>
      <c r="D29" s="4">
        <v>29221</v>
      </c>
      <c r="E29" s="3" t="s">
        <v>4</v>
      </c>
      <c r="F29" s="2" t="s">
        <v>3</v>
      </c>
      <c r="G29" s="2" t="s">
        <v>22</v>
      </c>
      <c r="H29" s="1">
        <v>43000</v>
      </c>
      <c r="I29" s="2" t="s">
        <v>21</v>
      </c>
      <c r="J29" s="31" t="str">
        <f t="shared" si="0"/>
        <v>Not Eligible for Gift</v>
      </c>
      <c r="K29" s="31">
        <f t="shared" si="1"/>
        <v>0</v>
      </c>
      <c r="L29" s="31" t="str">
        <f t="shared" si="5"/>
        <v>Retrire</v>
      </c>
      <c r="M29" s="31">
        <f t="shared" si="2"/>
        <v>10000</v>
      </c>
      <c r="N29" s="31">
        <f t="shared" si="3"/>
        <v>1500</v>
      </c>
      <c r="O29" s="31">
        <f t="shared" si="4"/>
        <v>3800</v>
      </c>
    </row>
    <row r="30" spans="1:15" x14ac:dyDescent="0.25">
      <c r="A30" s="3">
        <v>150894</v>
      </c>
      <c r="B30" s="2" t="s">
        <v>172</v>
      </c>
      <c r="C30" s="2" t="s">
        <v>173</v>
      </c>
      <c r="D30" s="4">
        <v>37124</v>
      </c>
      <c r="E30" s="3" t="s">
        <v>4</v>
      </c>
      <c r="F30" s="2" t="s">
        <v>3</v>
      </c>
      <c r="G30" s="2" t="s">
        <v>17</v>
      </c>
      <c r="H30" s="1">
        <v>67000</v>
      </c>
      <c r="I30" s="2" t="s">
        <v>1</v>
      </c>
      <c r="J30" s="31" t="str">
        <f t="shared" si="0"/>
        <v>Not Eligible for Gift</v>
      </c>
      <c r="K30" s="31">
        <f t="shared" si="1"/>
        <v>0</v>
      </c>
      <c r="L30" s="31" t="str">
        <f t="shared" si="5"/>
        <v>Not Retire</v>
      </c>
      <c r="M30" s="31">
        <f t="shared" si="2"/>
        <v>10000</v>
      </c>
      <c r="N30" s="31">
        <f t="shared" si="3"/>
        <v>1500</v>
      </c>
      <c r="O30" s="31">
        <f t="shared" si="4"/>
        <v>4000</v>
      </c>
    </row>
    <row r="31" spans="1:15" x14ac:dyDescent="0.25">
      <c r="A31" s="3">
        <v>150899</v>
      </c>
      <c r="B31" s="2" t="s">
        <v>188</v>
      </c>
      <c r="C31" s="2" t="s">
        <v>189</v>
      </c>
      <c r="D31" s="4">
        <v>37400</v>
      </c>
      <c r="E31" s="3" t="s">
        <v>4</v>
      </c>
      <c r="F31" s="2" t="s">
        <v>3</v>
      </c>
      <c r="G31" s="2" t="s">
        <v>14</v>
      </c>
      <c r="H31" s="1">
        <v>50000</v>
      </c>
      <c r="I31" s="2" t="s">
        <v>1</v>
      </c>
      <c r="J31" s="31" t="str">
        <f t="shared" si="0"/>
        <v>Not Eligible for Gift</v>
      </c>
      <c r="K31" s="31">
        <f t="shared" si="1"/>
        <v>0</v>
      </c>
      <c r="L31" s="31" t="str">
        <f t="shared" si="5"/>
        <v>Not Retire</v>
      </c>
      <c r="M31" s="31">
        <f t="shared" si="2"/>
        <v>10000</v>
      </c>
      <c r="N31" s="31">
        <f t="shared" si="3"/>
        <v>1500</v>
      </c>
      <c r="O31" s="31">
        <f t="shared" si="4"/>
        <v>4000</v>
      </c>
    </row>
    <row r="32" spans="1:15" x14ac:dyDescent="0.25">
      <c r="A32" s="3">
        <v>150901</v>
      </c>
      <c r="B32" s="2" t="s">
        <v>192</v>
      </c>
      <c r="C32" s="2" t="s">
        <v>193</v>
      </c>
      <c r="D32" s="4">
        <v>32946</v>
      </c>
      <c r="E32" s="3" t="s">
        <v>8</v>
      </c>
      <c r="F32" s="2" t="s">
        <v>3</v>
      </c>
      <c r="G32" s="2" t="s">
        <v>25</v>
      </c>
      <c r="H32" s="1">
        <v>53000</v>
      </c>
      <c r="I32" s="2" t="s">
        <v>6</v>
      </c>
      <c r="J32" s="31" t="str">
        <f t="shared" si="0"/>
        <v>Not Eligible for Gift</v>
      </c>
      <c r="K32" s="31">
        <f t="shared" si="1"/>
        <v>0</v>
      </c>
      <c r="L32" s="31" t="str">
        <f t="shared" si="5"/>
        <v>Not Retire</v>
      </c>
      <c r="M32" s="31">
        <f t="shared" si="2"/>
        <v>10000</v>
      </c>
      <c r="N32" s="31">
        <f t="shared" si="3"/>
        <v>1500</v>
      </c>
      <c r="O32" s="31">
        <f t="shared" si="4"/>
        <v>4200</v>
      </c>
    </row>
    <row r="33" spans="1:15" x14ac:dyDescent="0.25">
      <c r="A33" s="3">
        <v>150905</v>
      </c>
      <c r="B33" s="2" t="s">
        <v>176</v>
      </c>
      <c r="C33" s="2" t="s">
        <v>177</v>
      </c>
      <c r="D33" s="4">
        <v>30819</v>
      </c>
      <c r="E33" s="3" t="s">
        <v>8</v>
      </c>
      <c r="F33" s="2" t="s">
        <v>39</v>
      </c>
      <c r="G33" s="2" t="s">
        <v>37</v>
      </c>
      <c r="H33" s="1">
        <v>62000</v>
      </c>
      <c r="I33" s="2" t="s">
        <v>6</v>
      </c>
      <c r="J33" s="31" t="str">
        <f t="shared" si="0"/>
        <v>Not Eligible for Gift</v>
      </c>
      <c r="K33" s="31">
        <f t="shared" si="1"/>
        <v>0</v>
      </c>
      <c r="L33" s="31" t="str">
        <f t="shared" si="5"/>
        <v>Not Retire</v>
      </c>
      <c r="M33" s="31">
        <f t="shared" si="2"/>
        <v>10000</v>
      </c>
      <c r="N33" s="31">
        <f t="shared" si="3"/>
        <v>1500</v>
      </c>
      <c r="O33" s="31">
        <f t="shared" si="4"/>
        <v>4200</v>
      </c>
    </row>
    <row r="34" spans="1:15" x14ac:dyDescent="0.25">
      <c r="A34" s="3">
        <v>150912</v>
      </c>
      <c r="B34" s="2" t="s">
        <v>180</v>
      </c>
      <c r="C34" s="2" t="s">
        <v>181</v>
      </c>
      <c r="D34" s="4">
        <v>37629</v>
      </c>
      <c r="E34" s="3" t="s">
        <v>8</v>
      </c>
      <c r="F34" s="2" t="s">
        <v>3</v>
      </c>
      <c r="G34" s="2" t="s">
        <v>12</v>
      </c>
      <c r="H34" s="1">
        <v>81000</v>
      </c>
      <c r="I34" s="2" t="s">
        <v>1</v>
      </c>
      <c r="J34" s="31" t="str">
        <f t="shared" si="0"/>
        <v>Not Eligible for Gift</v>
      </c>
      <c r="K34" s="31">
        <f t="shared" si="1"/>
        <v>0</v>
      </c>
      <c r="L34" s="31" t="str">
        <f t="shared" si="5"/>
        <v>Not Retire</v>
      </c>
      <c r="M34" s="31">
        <f t="shared" si="2"/>
        <v>10000</v>
      </c>
      <c r="N34" s="31">
        <f t="shared" si="3"/>
        <v>1500</v>
      </c>
      <c r="O34" s="31">
        <f t="shared" si="4"/>
        <v>4000</v>
      </c>
    </row>
    <row r="35" spans="1:15" x14ac:dyDescent="0.25">
      <c r="A35" s="3">
        <v>150921</v>
      </c>
      <c r="B35" s="2" t="s">
        <v>182</v>
      </c>
      <c r="C35" s="2" t="s">
        <v>183</v>
      </c>
      <c r="D35" s="4">
        <v>38092</v>
      </c>
      <c r="E35" s="3" t="s">
        <v>4</v>
      </c>
      <c r="F35" s="2" t="s">
        <v>3</v>
      </c>
      <c r="G35" s="2" t="s">
        <v>2</v>
      </c>
      <c r="H35" s="1">
        <v>19000</v>
      </c>
      <c r="I35" s="2" t="s">
        <v>21</v>
      </c>
      <c r="J35" s="31" t="str">
        <f t="shared" si="0"/>
        <v>Not Eligible for Gift</v>
      </c>
      <c r="K35" s="31">
        <f t="shared" si="1"/>
        <v>0</v>
      </c>
      <c r="L35" s="31" t="str">
        <f t="shared" si="5"/>
        <v>Not Retire</v>
      </c>
      <c r="M35" s="31">
        <f t="shared" si="2"/>
        <v>10000</v>
      </c>
      <c r="N35" s="31">
        <f t="shared" si="3"/>
        <v>1500</v>
      </c>
      <c r="O35" s="31">
        <f t="shared" si="4"/>
        <v>3800</v>
      </c>
    </row>
    <row r="36" spans="1:15" x14ac:dyDescent="0.25">
      <c r="A36" s="3">
        <v>150929</v>
      </c>
      <c r="B36" s="2" t="s">
        <v>207</v>
      </c>
      <c r="C36" s="2" t="s">
        <v>208</v>
      </c>
      <c r="D36" s="4">
        <v>26739</v>
      </c>
      <c r="E36" s="3" t="s">
        <v>4</v>
      </c>
      <c r="F36" s="2" t="s">
        <v>3</v>
      </c>
      <c r="G36" s="2" t="s">
        <v>7</v>
      </c>
      <c r="H36" s="1">
        <v>58000</v>
      </c>
      <c r="I36" s="2" t="s">
        <v>1</v>
      </c>
      <c r="J36" s="31" t="str">
        <f t="shared" si="0"/>
        <v>Not Eligible for Gift</v>
      </c>
      <c r="K36" s="31">
        <f t="shared" si="1"/>
        <v>0</v>
      </c>
      <c r="L36" s="31" t="str">
        <f t="shared" si="5"/>
        <v>Retrire</v>
      </c>
      <c r="M36" s="31">
        <f t="shared" si="2"/>
        <v>10000</v>
      </c>
      <c r="N36" s="31">
        <f t="shared" si="3"/>
        <v>1500</v>
      </c>
      <c r="O36" s="31">
        <f t="shared" si="4"/>
        <v>4000</v>
      </c>
    </row>
    <row r="37" spans="1:15" x14ac:dyDescent="0.25">
      <c r="A37" s="3">
        <v>150930</v>
      </c>
      <c r="B37" s="2" t="s">
        <v>169</v>
      </c>
      <c r="C37" s="2" t="s">
        <v>170</v>
      </c>
      <c r="D37" s="4">
        <v>37027</v>
      </c>
      <c r="E37" s="3" t="s">
        <v>4</v>
      </c>
      <c r="F37" s="2" t="s">
        <v>3</v>
      </c>
      <c r="G37" s="2" t="s">
        <v>19</v>
      </c>
      <c r="H37" s="1">
        <v>82000</v>
      </c>
      <c r="I37" s="2" t="s">
        <v>1</v>
      </c>
      <c r="J37" s="31" t="str">
        <f t="shared" si="0"/>
        <v>Not Eligible for Gift</v>
      </c>
      <c r="K37" s="31">
        <f t="shared" si="1"/>
        <v>0</v>
      </c>
      <c r="L37" s="31" t="str">
        <f t="shared" si="5"/>
        <v>Not Retire</v>
      </c>
      <c r="M37" s="31">
        <f t="shared" si="2"/>
        <v>10000</v>
      </c>
      <c r="N37" s="31">
        <f t="shared" si="3"/>
        <v>1500</v>
      </c>
      <c r="O37" s="31">
        <f t="shared" si="4"/>
        <v>4000</v>
      </c>
    </row>
    <row r="38" spans="1:15" x14ac:dyDescent="0.25">
      <c r="A38" s="3">
        <v>150937</v>
      </c>
      <c r="B38" s="2" t="s">
        <v>161</v>
      </c>
      <c r="C38" s="2" t="s">
        <v>162</v>
      </c>
      <c r="D38" s="4">
        <v>24700</v>
      </c>
      <c r="E38" s="3" t="s">
        <v>4</v>
      </c>
      <c r="F38" s="2" t="s">
        <v>3</v>
      </c>
      <c r="G38" s="2" t="s">
        <v>22</v>
      </c>
      <c r="H38" s="1">
        <v>37000</v>
      </c>
      <c r="I38" s="2" t="s">
        <v>36</v>
      </c>
      <c r="J38" s="31" t="str">
        <f t="shared" si="0"/>
        <v>Not Eligible for Gift</v>
      </c>
      <c r="K38" s="31">
        <f t="shared" si="1"/>
        <v>0</v>
      </c>
      <c r="L38" s="31" t="str">
        <f t="shared" si="5"/>
        <v>Retrire</v>
      </c>
      <c r="M38" s="31">
        <f t="shared" si="2"/>
        <v>10000</v>
      </c>
      <c r="N38" s="31">
        <f t="shared" si="3"/>
        <v>1500</v>
      </c>
      <c r="O38" s="31">
        <f t="shared" si="4"/>
        <v>5000</v>
      </c>
    </row>
    <row r="39" spans="1:15" x14ac:dyDescent="0.25">
      <c r="A39" s="3">
        <v>150940</v>
      </c>
      <c r="B39" s="2" t="s">
        <v>142</v>
      </c>
      <c r="C39" s="2" t="s">
        <v>143</v>
      </c>
      <c r="D39" s="4">
        <v>26906</v>
      </c>
      <c r="E39" s="3" t="s">
        <v>4</v>
      </c>
      <c r="F39" s="2" t="s">
        <v>39</v>
      </c>
      <c r="G39" s="2" t="s">
        <v>17</v>
      </c>
      <c r="H39" s="1">
        <v>87000</v>
      </c>
      <c r="I39" s="2" t="s">
        <v>6</v>
      </c>
      <c r="J39" s="31" t="str">
        <f t="shared" si="0"/>
        <v>Not Eligible for Gift</v>
      </c>
      <c r="K39" s="31">
        <f t="shared" si="1"/>
        <v>0</v>
      </c>
      <c r="L39" s="31" t="str">
        <f t="shared" si="5"/>
        <v>Retrire</v>
      </c>
      <c r="M39" s="31">
        <f t="shared" si="2"/>
        <v>10000</v>
      </c>
      <c r="N39" s="31">
        <f t="shared" si="3"/>
        <v>1500</v>
      </c>
      <c r="O39" s="31">
        <f t="shared" si="4"/>
        <v>4200</v>
      </c>
    </row>
    <row r="40" spans="1:15" x14ac:dyDescent="0.25">
      <c r="A40" s="3">
        <v>150947</v>
      </c>
      <c r="B40" s="2" t="s">
        <v>174</v>
      </c>
      <c r="C40" s="2" t="s">
        <v>175</v>
      </c>
      <c r="D40" s="4">
        <v>33449</v>
      </c>
      <c r="E40" s="3" t="s">
        <v>8</v>
      </c>
      <c r="F40" s="2" t="s">
        <v>3</v>
      </c>
      <c r="G40" s="2" t="s">
        <v>14</v>
      </c>
      <c r="H40" s="1">
        <v>85000</v>
      </c>
      <c r="I40" s="2" t="s">
        <v>6</v>
      </c>
      <c r="J40" s="31" t="str">
        <f t="shared" si="0"/>
        <v>Not Eligible for Gift</v>
      </c>
      <c r="K40" s="31">
        <f t="shared" si="1"/>
        <v>0</v>
      </c>
      <c r="L40" s="31" t="str">
        <f t="shared" si="5"/>
        <v>Not Retire</v>
      </c>
      <c r="M40" s="31">
        <f t="shared" si="2"/>
        <v>10000</v>
      </c>
      <c r="N40" s="31">
        <f t="shared" si="3"/>
        <v>1500</v>
      </c>
      <c r="O40" s="31">
        <f t="shared" si="4"/>
        <v>4200</v>
      </c>
    </row>
    <row r="41" spans="1:15" x14ac:dyDescent="0.25">
      <c r="A41" s="3">
        <v>150954</v>
      </c>
      <c r="B41" s="2" t="s">
        <v>202</v>
      </c>
      <c r="C41" s="2" t="s">
        <v>201</v>
      </c>
      <c r="D41" s="4">
        <v>35495</v>
      </c>
      <c r="E41" s="3" t="s">
        <v>8</v>
      </c>
      <c r="F41" s="2" t="s">
        <v>3</v>
      </c>
      <c r="G41" s="2" t="s">
        <v>25</v>
      </c>
      <c r="H41" s="1">
        <v>57000</v>
      </c>
      <c r="I41" s="2" t="s">
        <v>1</v>
      </c>
      <c r="J41" s="31" t="str">
        <f t="shared" si="0"/>
        <v>Not Eligible for Gift</v>
      </c>
      <c r="K41" s="31">
        <f t="shared" si="1"/>
        <v>0</v>
      </c>
      <c r="L41" s="31" t="str">
        <f t="shared" si="5"/>
        <v>Not Retire</v>
      </c>
      <c r="M41" s="31">
        <f t="shared" si="2"/>
        <v>10000</v>
      </c>
      <c r="N41" s="31">
        <f t="shared" si="3"/>
        <v>1500</v>
      </c>
      <c r="O41" s="31">
        <f t="shared" si="4"/>
        <v>4000</v>
      </c>
    </row>
    <row r="42" spans="1:15" x14ac:dyDescent="0.25">
      <c r="A42" s="3">
        <v>150962</v>
      </c>
      <c r="B42" s="2" t="s">
        <v>200</v>
      </c>
      <c r="C42" s="2" t="s">
        <v>201</v>
      </c>
      <c r="D42" s="4">
        <v>37773</v>
      </c>
      <c r="E42" s="3" t="s">
        <v>8</v>
      </c>
      <c r="F42" s="2" t="s">
        <v>3</v>
      </c>
      <c r="G42" s="2" t="s">
        <v>10</v>
      </c>
      <c r="H42" s="1">
        <v>87000</v>
      </c>
      <c r="I42" s="2" t="s">
        <v>1</v>
      </c>
      <c r="J42" s="31" t="str">
        <f t="shared" si="0"/>
        <v>Not Eligible for Gift</v>
      </c>
      <c r="K42" s="31">
        <f t="shared" si="1"/>
        <v>0</v>
      </c>
      <c r="L42" s="31" t="str">
        <f t="shared" si="5"/>
        <v>Not Retire</v>
      </c>
      <c r="M42" s="31">
        <f t="shared" si="2"/>
        <v>10000</v>
      </c>
      <c r="N42" s="31" t="str">
        <f t="shared" si="3"/>
        <v/>
      </c>
      <c r="O42" s="31">
        <f t="shared" si="4"/>
        <v>4000</v>
      </c>
    </row>
    <row r="43" spans="1:15" x14ac:dyDescent="0.25">
      <c r="A43" s="3">
        <v>150968</v>
      </c>
      <c r="B43" s="2" t="s">
        <v>194</v>
      </c>
      <c r="C43" s="2" t="s">
        <v>195</v>
      </c>
      <c r="D43" s="4">
        <v>37208</v>
      </c>
      <c r="E43" s="3" t="s">
        <v>4</v>
      </c>
      <c r="F43" s="2" t="s">
        <v>3</v>
      </c>
      <c r="G43" s="2" t="s">
        <v>12</v>
      </c>
      <c r="H43" s="1">
        <v>65000</v>
      </c>
      <c r="I43" s="2" t="s">
        <v>6</v>
      </c>
      <c r="J43" s="31" t="str">
        <f t="shared" si="0"/>
        <v>Not Eligible for Gift</v>
      </c>
      <c r="K43" s="31">
        <f t="shared" si="1"/>
        <v>0</v>
      </c>
      <c r="L43" s="31" t="str">
        <f t="shared" si="5"/>
        <v>Not Retire</v>
      </c>
      <c r="M43" s="31">
        <f t="shared" si="2"/>
        <v>10000</v>
      </c>
      <c r="N43" s="31">
        <f t="shared" si="3"/>
        <v>1500</v>
      </c>
      <c r="O43" s="31">
        <f t="shared" si="4"/>
        <v>4200</v>
      </c>
    </row>
    <row r="44" spans="1:15" x14ac:dyDescent="0.25">
      <c r="A44" s="3">
        <v>150975</v>
      </c>
      <c r="B44" s="2" t="s">
        <v>190</v>
      </c>
      <c r="C44" s="2" t="s">
        <v>191</v>
      </c>
      <c r="D44" s="4">
        <v>31478</v>
      </c>
      <c r="E44" s="3" t="s">
        <v>4</v>
      </c>
      <c r="F44" s="2" t="s">
        <v>3</v>
      </c>
      <c r="G44" s="2" t="s">
        <v>2</v>
      </c>
      <c r="H44" s="1">
        <v>83000</v>
      </c>
      <c r="I44" s="2" t="s">
        <v>36</v>
      </c>
      <c r="J44" s="31" t="str">
        <f t="shared" si="0"/>
        <v>Not Eligible for Gift</v>
      </c>
      <c r="K44" s="31">
        <f t="shared" si="1"/>
        <v>0</v>
      </c>
      <c r="L44" s="31" t="str">
        <f t="shared" si="5"/>
        <v>Not Retire</v>
      </c>
      <c r="M44" s="31">
        <f t="shared" si="2"/>
        <v>10000</v>
      </c>
      <c r="N44" s="31">
        <f t="shared" si="3"/>
        <v>1500</v>
      </c>
      <c r="O44" s="31">
        <f t="shared" si="4"/>
        <v>5000</v>
      </c>
    </row>
    <row r="45" spans="1:15" x14ac:dyDescent="0.25">
      <c r="A45" s="3">
        <v>150982</v>
      </c>
      <c r="B45" s="2" t="s">
        <v>209</v>
      </c>
      <c r="C45" s="2" t="s">
        <v>210</v>
      </c>
      <c r="D45" s="4">
        <v>35574</v>
      </c>
      <c r="E45" s="3" t="s">
        <v>4</v>
      </c>
      <c r="F45" s="2" t="s">
        <v>3</v>
      </c>
      <c r="G45" s="2" t="s">
        <v>7</v>
      </c>
      <c r="H45" s="1">
        <v>47000</v>
      </c>
      <c r="I45" s="2" t="s">
        <v>36</v>
      </c>
      <c r="J45" s="31" t="str">
        <f t="shared" si="0"/>
        <v>Not Eligible for Gift</v>
      </c>
      <c r="K45" s="31">
        <f t="shared" si="1"/>
        <v>0</v>
      </c>
      <c r="L45" s="31" t="str">
        <f t="shared" si="5"/>
        <v>Not Retire</v>
      </c>
      <c r="M45" s="31">
        <f t="shared" si="2"/>
        <v>10000</v>
      </c>
      <c r="N45" s="31">
        <f t="shared" si="3"/>
        <v>1500</v>
      </c>
      <c r="O45" s="31">
        <f t="shared" si="4"/>
        <v>5000</v>
      </c>
    </row>
    <row r="46" spans="1:15" x14ac:dyDescent="0.25">
      <c r="A46" s="3">
        <v>150989</v>
      </c>
      <c r="B46" s="2" t="s">
        <v>153</v>
      </c>
      <c r="C46" s="2" t="s">
        <v>151</v>
      </c>
      <c r="D46" s="4">
        <v>33113</v>
      </c>
      <c r="E46" s="3" t="s">
        <v>4</v>
      </c>
      <c r="F46" s="2" t="s">
        <v>3</v>
      </c>
      <c r="G46" s="2" t="s">
        <v>19</v>
      </c>
      <c r="H46" s="1">
        <v>45000</v>
      </c>
      <c r="I46" s="2" t="s">
        <v>1</v>
      </c>
      <c r="J46" s="31" t="str">
        <f t="shared" si="0"/>
        <v>Not Eligible for Gift</v>
      </c>
      <c r="K46" s="31">
        <f t="shared" si="1"/>
        <v>0</v>
      </c>
      <c r="L46" s="31" t="str">
        <f t="shared" si="5"/>
        <v>Not Retire</v>
      </c>
      <c r="M46" s="31">
        <f t="shared" si="2"/>
        <v>10000</v>
      </c>
      <c r="N46" s="31">
        <f t="shared" si="3"/>
        <v>1500</v>
      </c>
      <c r="O46" s="31">
        <f t="shared" si="4"/>
        <v>4000</v>
      </c>
    </row>
    <row r="47" spans="1:15" x14ac:dyDescent="0.25">
      <c r="A47" s="3">
        <v>150990</v>
      </c>
      <c r="B47" s="2" t="s">
        <v>150</v>
      </c>
      <c r="C47" s="2" t="s">
        <v>151</v>
      </c>
      <c r="D47" s="4">
        <v>36400</v>
      </c>
      <c r="E47" s="3" t="s">
        <v>4</v>
      </c>
      <c r="F47" s="2" t="s">
        <v>3</v>
      </c>
      <c r="G47" s="2" t="s">
        <v>22</v>
      </c>
      <c r="H47" s="1">
        <v>77000</v>
      </c>
      <c r="I47" s="2" t="s">
        <v>21</v>
      </c>
      <c r="J47" s="31" t="str">
        <f t="shared" si="0"/>
        <v>Not Eligible for Gift</v>
      </c>
      <c r="K47" s="31">
        <f t="shared" si="1"/>
        <v>0</v>
      </c>
      <c r="L47" s="31" t="str">
        <f t="shared" si="5"/>
        <v>Not Retire</v>
      </c>
      <c r="M47" s="31">
        <f t="shared" si="2"/>
        <v>10000</v>
      </c>
      <c r="N47" s="31">
        <f t="shared" si="3"/>
        <v>1500</v>
      </c>
      <c r="O47" s="31">
        <f t="shared" si="4"/>
        <v>3800</v>
      </c>
    </row>
    <row r="48" spans="1:15" x14ac:dyDescent="0.25">
      <c r="A48" s="3">
        <v>150995</v>
      </c>
      <c r="B48" s="2" t="s">
        <v>178</v>
      </c>
      <c r="C48" s="2" t="s">
        <v>179</v>
      </c>
      <c r="D48" s="4">
        <v>35330</v>
      </c>
      <c r="E48" s="3" t="s">
        <v>4</v>
      </c>
      <c r="F48" s="2" t="s">
        <v>3</v>
      </c>
      <c r="G48" s="2" t="s">
        <v>17</v>
      </c>
      <c r="H48" s="1">
        <v>15000</v>
      </c>
      <c r="I48" s="2" t="s">
        <v>36</v>
      </c>
      <c r="J48" s="31" t="str">
        <f t="shared" si="0"/>
        <v>Not Eligible for Gift</v>
      </c>
      <c r="K48" s="31">
        <f t="shared" si="1"/>
        <v>0</v>
      </c>
      <c r="L48" s="31" t="str">
        <f t="shared" si="5"/>
        <v>Not Retire</v>
      </c>
      <c r="M48" s="31">
        <f t="shared" si="2"/>
        <v>10000</v>
      </c>
      <c r="N48" s="31">
        <f t="shared" si="3"/>
        <v>1500</v>
      </c>
      <c r="O48" s="31">
        <f t="shared" si="4"/>
        <v>5000</v>
      </c>
    </row>
    <row r="49" spans="7:7" x14ac:dyDescent="0.25">
      <c r="G49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M44"/>
  <sheetViews>
    <sheetView topLeftCell="E33" workbookViewId="0">
      <selection activeCell="N17" sqref="N17"/>
    </sheetView>
  </sheetViews>
  <sheetFormatPr defaultRowHeight="15" x14ac:dyDescent="0.25"/>
  <cols>
    <col min="4" max="4" width="22" customWidth="1"/>
    <col min="5" max="6" width="14.140625" bestFit="1" customWidth="1"/>
    <col min="7" max="7" width="13.28515625" bestFit="1" customWidth="1"/>
    <col min="8" max="9" width="13.28515625" customWidth="1"/>
    <col min="10" max="10" width="17.28515625" customWidth="1"/>
    <col min="11" max="11" width="8.28515625" customWidth="1"/>
    <col min="12" max="12" width="10.7109375" bestFit="1" customWidth="1"/>
    <col min="13" max="14" width="11.7109375" bestFit="1" customWidth="1"/>
    <col min="15" max="15" width="10.7109375" bestFit="1" customWidth="1"/>
  </cols>
  <sheetData>
    <row r="2" spans="3:13" ht="18.75" x14ac:dyDescent="0.3">
      <c r="C2" s="6">
        <v>1</v>
      </c>
      <c r="D2" s="6" t="s">
        <v>68</v>
      </c>
      <c r="E2" s="6"/>
      <c r="F2" s="6"/>
      <c r="G2" s="7"/>
      <c r="H2" s="7"/>
      <c r="I2" s="7"/>
    </row>
    <row r="3" spans="3:13" x14ac:dyDescent="0.25">
      <c r="C3" s="6">
        <v>2</v>
      </c>
      <c r="D3" s="6" t="s">
        <v>122</v>
      </c>
      <c r="E3" s="6"/>
      <c r="F3" s="6"/>
    </row>
    <row r="4" spans="3:13" x14ac:dyDescent="0.25">
      <c r="C4" s="6"/>
      <c r="D4" s="6"/>
      <c r="E4" s="6"/>
      <c r="F4" s="6"/>
    </row>
    <row r="6" spans="3:13" x14ac:dyDescent="0.25">
      <c r="C6" s="5" t="s">
        <v>65</v>
      </c>
      <c r="D6" s="5" t="s">
        <v>0</v>
      </c>
      <c r="E6" s="5" t="s">
        <v>66</v>
      </c>
      <c r="F6" s="5" t="s">
        <v>67</v>
      </c>
      <c r="G6" s="5" t="s">
        <v>64</v>
      </c>
      <c r="H6" s="5" t="s">
        <v>63</v>
      </c>
      <c r="I6" s="5" t="s">
        <v>62</v>
      </c>
      <c r="J6" s="5" t="s">
        <v>61</v>
      </c>
      <c r="K6" s="5" t="s">
        <v>60</v>
      </c>
      <c r="L6" s="5" t="s">
        <v>59</v>
      </c>
      <c r="M6" s="5" t="s">
        <v>58</v>
      </c>
    </row>
    <row r="7" spans="3:13" x14ac:dyDescent="0.25">
      <c r="C7" s="3">
        <v>1</v>
      </c>
      <c r="D7" s="2" t="s">
        <v>57</v>
      </c>
      <c r="E7" s="8" t="s">
        <v>145</v>
      </c>
      <c r="F7" s="8" t="s">
        <v>146</v>
      </c>
      <c r="G7" s="4">
        <v>26123</v>
      </c>
      <c r="H7" s="3" t="s">
        <v>4</v>
      </c>
      <c r="I7" s="2" t="s">
        <v>3</v>
      </c>
      <c r="J7" s="2" t="s">
        <v>7</v>
      </c>
      <c r="K7" s="2" t="s">
        <v>36</v>
      </c>
      <c r="L7" s="1">
        <v>22000</v>
      </c>
      <c r="M7" s="8" t="str">
        <f>UPPER(_xlfn.CONCAT(LEFT(E7,2),LEFT(J7,2),LEFT(K7,1),C7))</f>
        <v>MEMAN1</v>
      </c>
    </row>
    <row r="8" spans="3:13" x14ac:dyDescent="0.25">
      <c r="C8" s="3">
        <v>2</v>
      </c>
      <c r="D8" s="2" t="s">
        <v>56</v>
      </c>
      <c r="E8" s="8" t="s">
        <v>169</v>
      </c>
      <c r="F8" s="8" t="s">
        <v>198</v>
      </c>
      <c r="G8" s="4">
        <v>28136</v>
      </c>
      <c r="H8" s="3" t="s">
        <v>8</v>
      </c>
      <c r="I8" s="2" t="s">
        <v>3</v>
      </c>
      <c r="J8" s="2" t="s">
        <v>17</v>
      </c>
      <c r="K8" s="2" t="s">
        <v>6</v>
      </c>
      <c r="L8" s="1">
        <v>20000</v>
      </c>
      <c r="M8" s="8" t="str">
        <f t="shared" ref="M8:M44" si="0">UPPER(_xlfn.CONCAT(LEFT(E8,2),LEFT(J8,2),LEFT(K8,1),C8))</f>
        <v>PIINE2</v>
      </c>
    </row>
    <row r="9" spans="3:13" x14ac:dyDescent="0.25">
      <c r="C9" s="3">
        <v>3</v>
      </c>
      <c r="D9" s="2" t="s">
        <v>55</v>
      </c>
      <c r="E9" s="8" t="s">
        <v>140</v>
      </c>
      <c r="F9" s="8" t="s">
        <v>141</v>
      </c>
      <c r="G9" s="4">
        <v>28346</v>
      </c>
      <c r="H9" s="3" t="s">
        <v>8</v>
      </c>
      <c r="I9" s="2" t="s">
        <v>3</v>
      </c>
      <c r="J9" s="2" t="s">
        <v>19</v>
      </c>
      <c r="K9" s="2" t="s">
        <v>36</v>
      </c>
      <c r="L9" s="1">
        <v>67000</v>
      </c>
      <c r="M9" s="8" t="str">
        <f t="shared" si="0"/>
        <v>RADIN3</v>
      </c>
    </row>
    <row r="10" spans="3:13" x14ac:dyDescent="0.25">
      <c r="C10" s="3">
        <v>4</v>
      </c>
      <c r="D10" s="2" t="s">
        <v>54</v>
      </c>
      <c r="E10" s="8" t="s">
        <v>161</v>
      </c>
      <c r="F10" s="8" t="s">
        <v>162</v>
      </c>
      <c r="G10" s="4">
        <v>29700</v>
      </c>
      <c r="H10" s="3" t="s">
        <v>4</v>
      </c>
      <c r="I10" s="2" t="s">
        <v>3</v>
      </c>
      <c r="J10" s="2" t="s">
        <v>22</v>
      </c>
      <c r="K10" s="2" t="s">
        <v>1</v>
      </c>
      <c r="L10" s="1">
        <v>37000</v>
      </c>
      <c r="M10" s="8" t="str">
        <f t="shared" si="0"/>
        <v>DHLES4</v>
      </c>
    </row>
    <row r="11" spans="3:13" x14ac:dyDescent="0.25">
      <c r="C11" s="3">
        <v>5</v>
      </c>
      <c r="D11" s="2" t="s">
        <v>53</v>
      </c>
      <c r="E11" s="8" t="s">
        <v>140</v>
      </c>
      <c r="F11" s="8" t="s">
        <v>148</v>
      </c>
      <c r="G11" s="4">
        <v>31172</v>
      </c>
      <c r="H11" s="3" t="s">
        <v>4</v>
      </c>
      <c r="I11" s="2" t="s">
        <v>3</v>
      </c>
      <c r="J11" s="2" t="s">
        <v>10</v>
      </c>
      <c r="K11" s="2" t="s">
        <v>36</v>
      </c>
      <c r="L11" s="1">
        <v>91000</v>
      </c>
      <c r="M11" s="8" t="str">
        <f t="shared" si="0"/>
        <v>RADIN5</v>
      </c>
    </row>
    <row r="12" spans="3:13" x14ac:dyDescent="0.25">
      <c r="C12" s="3">
        <v>6</v>
      </c>
      <c r="D12" s="2" t="s">
        <v>52</v>
      </c>
      <c r="E12" s="8" t="s">
        <v>158</v>
      </c>
      <c r="F12" s="8" t="s">
        <v>159</v>
      </c>
      <c r="G12" s="4">
        <v>31246</v>
      </c>
      <c r="H12" s="3" t="s">
        <v>4</v>
      </c>
      <c r="I12" s="2" t="s">
        <v>3</v>
      </c>
      <c r="J12" s="2" t="s">
        <v>17</v>
      </c>
      <c r="K12" s="2" t="s">
        <v>36</v>
      </c>
      <c r="L12" s="1">
        <v>50000</v>
      </c>
      <c r="M12" s="8" t="str">
        <f t="shared" si="0"/>
        <v>HEINN6</v>
      </c>
    </row>
    <row r="13" spans="3:13" x14ac:dyDescent="0.25">
      <c r="C13" s="3">
        <v>7</v>
      </c>
      <c r="D13" s="2" t="s">
        <v>51</v>
      </c>
      <c r="E13" s="8" t="s">
        <v>207</v>
      </c>
      <c r="F13" s="8" t="s">
        <v>208</v>
      </c>
      <c r="G13" s="4">
        <v>31739</v>
      </c>
      <c r="H13" s="3" t="s">
        <v>4</v>
      </c>
      <c r="I13" s="2" t="s">
        <v>3</v>
      </c>
      <c r="J13" s="2" t="s">
        <v>7</v>
      </c>
      <c r="K13" s="2" t="s">
        <v>1</v>
      </c>
      <c r="L13" s="1">
        <v>58000</v>
      </c>
      <c r="M13" s="8" t="str">
        <f t="shared" si="0"/>
        <v>BOMAS7</v>
      </c>
    </row>
    <row r="14" spans="3:13" x14ac:dyDescent="0.25">
      <c r="C14" s="3">
        <v>8</v>
      </c>
      <c r="D14" s="2" t="s">
        <v>50</v>
      </c>
      <c r="E14" s="8" t="s">
        <v>196</v>
      </c>
      <c r="F14" s="8" t="s">
        <v>197</v>
      </c>
      <c r="G14" s="4">
        <v>31860</v>
      </c>
      <c r="H14" s="3" t="s">
        <v>4</v>
      </c>
      <c r="I14" s="2" t="s">
        <v>3</v>
      </c>
      <c r="J14" s="2" t="s">
        <v>2</v>
      </c>
      <c r="K14" s="2" t="s">
        <v>36</v>
      </c>
      <c r="L14" s="1">
        <v>85000</v>
      </c>
      <c r="M14" s="8" t="str">
        <f t="shared" si="0"/>
        <v>STFIN8</v>
      </c>
    </row>
    <row r="15" spans="3:13" x14ac:dyDescent="0.25">
      <c r="C15" s="3">
        <v>9</v>
      </c>
      <c r="D15" s="2" t="s">
        <v>49</v>
      </c>
      <c r="E15" s="8" t="s">
        <v>142</v>
      </c>
      <c r="F15" s="8" t="s">
        <v>143</v>
      </c>
      <c r="G15" s="4">
        <v>31906</v>
      </c>
      <c r="H15" s="3" t="s">
        <v>4</v>
      </c>
      <c r="I15" s="2" t="s">
        <v>39</v>
      </c>
      <c r="J15" s="2" t="s">
        <v>17</v>
      </c>
      <c r="K15" s="2" t="s">
        <v>1</v>
      </c>
      <c r="L15" s="1">
        <v>87000</v>
      </c>
      <c r="M15" s="8" t="str">
        <f t="shared" si="0"/>
        <v>RAINS9</v>
      </c>
    </row>
    <row r="16" spans="3:13" x14ac:dyDescent="0.25">
      <c r="C16" s="3">
        <v>10</v>
      </c>
      <c r="D16" s="2" t="s">
        <v>48</v>
      </c>
      <c r="E16" s="8" t="s">
        <v>204</v>
      </c>
      <c r="F16" s="8" t="s">
        <v>201</v>
      </c>
      <c r="G16" s="4">
        <v>33276</v>
      </c>
      <c r="H16" s="3" t="s">
        <v>8</v>
      </c>
      <c r="I16" s="2" t="s">
        <v>3</v>
      </c>
      <c r="J16" s="2" t="s">
        <v>19</v>
      </c>
      <c r="K16" s="2" t="s">
        <v>36</v>
      </c>
      <c r="L16" s="1">
        <v>81000</v>
      </c>
      <c r="M16" s="8" t="str">
        <f t="shared" si="0"/>
        <v>TUDIN10</v>
      </c>
    </row>
    <row r="17" spans="3:13" x14ac:dyDescent="0.25">
      <c r="C17" s="3">
        <v>11</v>
      </c>
      <c r="D17" s="2" t="s">
        <v>47</v>
      </c>
      <c r="E17" s="8" t="s">
        <v>137</v>
      </c>
      <c r="F17" s="8" t="s">
        <v>138</v>
      </c>
      <c r="G17" s="4">
        <v>33365</v>
      </c>
      <c r="H17" s="3" t="s">
        <v>8</v>
      </c>
      <c r="I17" s="2" t="s">
        <v>39</v>
      </c>
      <c r="J17" s="2" t="s">
        <v>19</v>
      </c>
      <c r="K17" s="2" t="s">
        <v>36</v>
      </c>
      <c r="L17" s="1">
        <v>35000</v>
      </c>
      <c r="M17" s="8" t="str">
        <f t="shared" si="0"/>
        <v>SADIN11</v>
      </c>
    </row>
    <row r="18" spans="3:13" x14ac:dyDescent="0.25">
      <c r="C18" s="3">
        <v>12</v>
      </c>
      <c r="D18" s="2" t="s">
        <v>46</v>
      </c>
      <c r="E18" s="8" t="s">
        <v>186</v>
      </c>
      <c r="F18" s="8" t="s">
        <v>187</v>
      </c>
      <c r="G18" s="4">
        <v>34028</v>
      </c>
      <c r="H18" s="3" t="s">
        <v>8</v>
      </c>
      <c r="I18" s="2" t="s">
        <v>39</v>
      </c>
      <c r="J18" s="2" t="s">
        <v>2</v>
      </c>
      <c r="K18" s="2" t="s">
        <v>6</v>
      </c>
      <c r="L18" s="1">
        <v>49000</v>
      </c>
      <c r="M18" s="8" t="str">
        <f t="shared" si="0"/>
        <v>BOFIE12</v>
      </c>
    </row>
    <row r="19" spans="3:13" x14ac:dyDescent="0.25">
      <c r="C19" s="3">
        <v>13</v>
      </c>
      <c r="D19" s="2" t="s">
        <v>45</v>
      </c>
      <c r="E19" s="8" t="s">
        <v>205</v>
      </c>
      <c r="F19" s="8" t="s">
        <v>206</v>
      </c>
      <c r="G19" s="4">
        <v>34037</v>
      </c>
      <c r="H19" s="3" t="s">
        <v>8</v>
      </c>
      <c r="I19" s="2" t="s">
        <v>3</v>
      </c>
      <c r="J19" s="2" t="s">
        <v>25</v>
      </c>
      <c r="K19" s="2" t="s">
        <v>36</v>
      </c>
      <c r="L19" s="1">
        <v>52000</v>
      </c>
      <c r="M19" s="8" t="str">
        <f t="shared" si="0"/>
        <v>RASAN13</v>
      </c>
    </row>
    <row r="20" spans="3:13" x14ac:dyDescent="0.25">
      <c r="C20" s="3">
        <v>14</v>
      </c>
      <c r="D20" s="2" t="s">
        <v>44</v>
      </c>
      <c r="E20" s="8" t="s">
        <v>163</v>
      </c>
      <c r="F20" s="8" t="s">
        <v>164</v>
      </c>
      <c r="G20" s="4">
        <v>34221</v>
      </c>
      <c r="H20" s="3" t="s">
        <v>4</v>
      </c>
      <c r="I20" s="2" t="s">
        <v>3</v>
      </c>
      <c r="J20" s="2" t="s">
        <v>22</v>
      </c>
      <c r="K20" s="2" t="s">
        <v>6</v>
      </c>
      <c r="L20" s="1">
        <v>43000</v>
      </c>
      <c r="M20" s="8" t="str">
        <f t="shared" si="0"/>
        <v>GULEE14</v>
      </c>
    </row>
    <row r="21" spans="3:13" x14ac:dyDescent="0.25">
      <c r="C21" s="3">
        <v>15</v>
      </c>
      <c r="D21" s="2" t="s">
        <v>43</v>
      </c>
      <c r="E21" s="8" t="s">
        <v>184</v>
      </c>
      <c r="F21" s="8" t="s">
        <v>185</v>
      </c>
      <c r="G21" s="4">
        <v>34368</v>
      </c>
      <c r="H21" s="3" t="s">
        <v>4</v>
      </c>
      <c r="I21" s="2" t="s">
        <v>39</v>
      </c>
      <c r="J21" s="2" t="s">
        <v>17</v>
      </c>
      <c r="K21" s="2" t="s">
        <v>6</v>
      </c>
      <c r="L21" s="1">
        <v>75000</v>
      </c>
      <c r="M21" s="8" t="str">
        <f t="shared" si="0"/>
        <v>SUINE15</v>
      </c>
    </row>
    <row r="22" spans="3:13" x14ac:dyDescent="0.25">
      <c r="C22" s="3">
        <v>16</v>
      </c>
      <c r="D22" s="2" t="s">
        <v>42</v>
      </c>
      <c r="E22" s="8" t="s">
        <v>211</v>
      </c>
      <c r="F22" s="8" t="s">
        <v>212</v>
      </c>
      <c r="G22" s="4">
        <v>34966</v>
      </c>
      <c r="H22" s="3" t="s">
        <v>4</v>
      </c>
      <c r="I22" s="2" t="s">
        <v>39</v>
      </c>
      <c r="J22" s="2" t="s">
        <v>14</v>
      </c>
      <c r="K22" s="2" t="s">
        <v>36</v>
      </c>
      <c r="L22" s="1">
        <v>26000</v>
      </c>
      <c r="M22" s="8" t="str">
        <f t="shared" si="0"/>
        <v>YACCN16</v>
      </c>
    </row>
    <row r="23" spans="3:13" x14ac:dyDescent="0.25">
      <c r="C23" s="3">
        <v>17</v>
      </c>
      <c r="D23" s="2" t="s">
        <v>41</v>
      </c>
      <c r="E23" s="8" t="s">
        <v>155</v>
      </c>
      <c r="F23" s="8" t="s">
        <v>156</v>
      </c>
      <c r="G23" s="4">
        <v>35337</v>
      </c>
      <c r="H23" s="3" t="s">
        <v>4</v>
      </c>
      <c r="I23" s="2" t="s">
        <v>39</v>
      </c>
      <c r="J23" s="2" t="s">
        <v>19</v>
      </c>
      <c r="K23" s="2" t="s">
        <v>6</v>
      </c>
      <c r="L23" s="1">
        <v>92000</v>
      </c>
      <c r="M23" s="8" t="str">
        <f t="shared" si="0"/>
        <v>DIDIE17</v>
      </c>
    </row>
    <row r="24" spans="3:13" x14ac:dyDescent="0.25">
      <c r="C24" s="3">
        <v>18</v>
      </c>
      <c r="D24" s="2" t="s">
        <v>40</v>
      </c>
      <c r="E24" s="8" t="s">
        <v>176</v>
      </c>
      <c r="F24" s="8" t="s">
        <v>177</v>
      </c>
      <c r="G24" s="4">
        <v>35819</v>
      </c>
      <c r="H24" s="3" t="s">
        <v>8</v>
      </c>
      <c r="I24" s="2" t="s">
        <v>39</v>
      </c>
      <c r="J24" s="2" t="s">
        <v>37</v>
      </c>
      <c r="K24" s="2" t="s">
        <v>1</v>
      </c>
      <c r="L24" s="1">
        <v>62000</v>
      </c>
      <c r="M24" s="8" t="str">
        <f t="shared" si="0"/>
        <v>YOFLS18</v>
      </c>
    </row>
    <row r="25" spans="3:13" x14ac:dyDescent="0.25">
      <c r="C25" s="3">
        <v>19</v>
      </c>
      <c r="D25" s="2" t="s">
        <v>38</v>
      </c>
      <c r="E25" s="8" t="s">
        <v>134</v>
      </c>
      <c r="F25" s="8" t="s">
        <v>135</v>
      </c>
      <c r="G25" s="4">
        <v>36199</v>
      </c>
      <c r="H25" s="3" t="s">
        <v>8</v>
      </c>
      <c r="I25" s="2" t="s">
        <v>3</v>
      </c>
      <c r="J25" s="2" t="s">
        <v>37</v>
      </c>
      <c r="K25" s="2" t="s">
        <v>36</v>
      </c>
      <c r="L25" s="1">
        <v>48000</v>
      </c>
      <c r="M25" s="8" t="str">
        <f t="shared" si="0"/>
        <v>RAFLN19</v>
      </c>
    </row>
    <row r="26" spans="3:13" x14ac:dyDescent="0.25">
      <c r="C26" s="3">
        <v>20</v>
      </c>
      <c r="D26" s="2" t="s">
        <v>35</v>
      </c>
      <c r="E26" s="8" t="s">
        <v>165</v>
      </c>
      <c r="F26" s="8" t="s">
        <v>164</v>
      </c>
      <c r="G26" s="4">
        <v>36279</v>
      </c>
      <c r="H26" s="3" t="s">
        <v>8</v>
      </c>
      <c r="I26" s="2" t="s">
        <v>3</v>
      </c>
      <c r="J26" s="2" t="s">
        <v>34</v>
      </c>
      <c r="K26" s="2" t="s">
        <v>6</v>
      </c>
      <c r="L26" s="1">
        <v>90000</v>
      </c>
      <c r="M26" s="8" t="str">
        <f t="shared" si="0"/>
        <v>RUCEE20</v>
      </c>
    </row>
    <row r="27" spans="3:13" x14ac:dyDescent="0.25">
      <c r="C27" s="3">
        <v>21</v>
      </c>
      <c r="D27" s="2" t="s">
        <v>33</v>
      </c>
      <c r="E27" s="8" t="s">
        <v>190</v>
      </c>
      <c r="F27" s="8" t="s">
        <v>191</v>
      </c>
      <c r="G27" s="4">
        <v>36478</v>
      </c>
      <c r="H27" s="3" t="s">
        <v>4</v>
      </c>
      <c r="I27" s="2" t="s">
        <v>3</v>
      </c>
      <c r="J27" s="2" t="s">
        <v>2</v>
      </c>
      <c r="K27" s="2" t="s">
        <v>21</v>
      </c>
      <c r="L27" s="1">
        <v>83000</v>
      </c>
      <c r="M27" s="8" t="str">
        <f t="shared" si="0"/>
        <v>SIFIM21</v>
      </c>
    </row>
    <row r="28" spans="3:13" x14ac:dyDescent="0.25">
      <c r="C28" s="3">
        <v>22</v>
      </c>
      <c r="D28" s="2" t="s">
        <v>32</v>
      </c>
      <c r="E28" s="8" t="s">
        <v>161</v>
      </c>
      <c r="F28" s="8" t="s">
        <v>199</v>
      </c>
      <c r="G28" s="4">
        <v>37027</v>
      </c>
      <c r="H28" s="3" t="s">
        <v>4</v>
      </c>
      <c r="I28" s="2" t="s">
        <v>3</v>
      </c>
      <c r="J28" s="2" t="s">
        <v>14</v>
      </c>
      <c r="K28" s="2" t="s">
        <v>6</v>
      </c>
      <c r="L28" s="1">
        <v>47000</v>
      </c>
      <c r="M28" s="8" t="str">
        <f t="shared" si="0"/>
        <v>DHCCE22</v>
      </c>
    </row>
    <row r="29" spans="3:13" x14ac:dyDescent="0.25">
      <c r="C29" s="3">
        <v>23</v>
      </c>
      <c r="D29" s="2" t="s">
        <v>31</v>
      </c>
      <c r="E29" s="8" t="s">
        <v>192</v>
      </c>
      <c r="F29" s="8" t="s">
        <v>193</v>
      </c>
      <c r="G29" s="4">
        <v>37946</v>
      </c>
      <c r="H29" s="3" t="s">
        <v>8</v>
      </c>
      <c r="I29" s="2" t="s">
        <v>3</v>
      </c>
      <c r="J29" s="2" t="s">
        <v>25</v>
      </c>
      <c r="K29" s="2" t="s">
        <v>1</v>
      </c>
      <c r="L29" s="1">
        <v>53000</v>
      </c>
      <c r="M29" s="8" t="str">
        <f t="shared" si="0"/>
        <v>ASSAS23</v>
      </c>
    </row>
    <row r="30" spans="3:13" x14ac:dyDescent="0.25">
      <c r="C30" s="3">
        <v>24</v>
      </c>
      <c r="D30" s="2" t="s">
        <v>30</v>
      </c>
      <c r="E30" s="8" t="s">
        <v>153</v>
      </c>
      <c r="F30" s="8" t="s">
        <v>151</v>
      </c>
      <c r="G30" s="4">
        <v>38113</v>
      </c>
      <c r="H30" s="3" t="s">
        <v>4</v>
      </c>
      <c r="I30" s="2" t="s">
        <v>3</v>
      </c>
      <c r="J30" s="2" t="s">
        <v>19</v>
      </c>
      <c r="K30" s="2" t="s">
        <v>21</v>
      </c>
      <c r="L30" s="1">
        <v>45000</v>
      </c>
      <c r="M30" s="8" t="str">
        <f t="shared" si="0"/>
        <v>VIDIM24</v>
      </c>
    </row>
    <row r="31" spans="3:13" x14ac:dyDescent="0.25">
      <c r="C31" s="3">
        <v>25</v>
      </c>
      <c r="D31" s="2" t="s">
        <v>29</v>
      </c>
      <c r="E31" s="8" t="s">
        <v>174</v>
      </c>
      <c r="F31" s="8" t="s">
        <v>175</v>
      </c>
      <c r="G31" s="4">
        <v>38449</v>
      </c>
      <c r="H31" s="3" t="s">
        <v>8</v>
      </c>
      <c r="I31" s="2" t="s">
        <v>3</v>
      </c>
      <c r="J31" s="2" t="s">
        <v>14</v>
      </c>
      <c r="K31" s="2" t="s">
        <v>1</v>
      </c>
      <c r="L31" s="1">
        <v>85000</v>
      </c>
      <c r="M31" s="8" t="str">
        <f t="shared" si="0"/>
        <v>RACCS25</v>
      </c>
    </row>
    <row r="32" spans="3:13" x14ac:dyDescent="0.25">
      <c r="C32" s="3">
        <v>26</v>
      </c>
      <c r="D32" s="2" t="s">
        <v>28</v>
      </c>
      <c r="E32" s="8" t="s">
        <v>166</v>
      </c>
      <c r="F32" s="8" t="s">
        <v>167</v>
      </c>
      <c r="G32" s="4">
        <v>39846</v>
      </c>
      <c r="H32" s="3" t="s">
        <v>4</v>
      </c>
      <c r="I32" s="2" t="s">
        <v>3</v>
      </c>
      <c r="J32" s="2" t="s">
        <v>14</v>
      </c>
      <c r="K32" s="2" t="s">
        <v>6</v>
      </c>
      <c r="L32" s="1">
        <v>34000</v>
      </c>
      <c r="M32" s="8" t="str">
        <f t="shared" si="0"/>
        <v>JACCE26</v>
      </c>
    </row>
    <row r="33" spans="3:13" x14ac:dyDescent="0.25">
      <c r="C33" s="3">
        <v>27</v>
      </c>
      <c r="D33" s="2" t="s">
        <v>27</v>
      </c>
      <c r="E33" s="8" t="s">
        <v>178</v>
      </c>
      <c r="F33" s="8" t="s">
        <v>179</v>
      </c>
      <c r="G33" s="4">
        <v>40330</v>
      </c>
      <c r="H33" s="3" t="s">
        <v>4</v>
      </c>
      <c r="I33" s="2" t="s">
        <v>3</v>
      </c>
      <c r="J33" s="2" t="s">
        <v>17</v>
      </c>
      <c r="K33" s="2" t="s">
        <v>21</v>
      </c>
      <c r="L33" s="1">
        <v>15000</v>
      </c>
      <c r="M33" s="8" t="str">
        <f t="shared" si="0"/>
        <v>SAINM27</v>
      </c>
    </row>
    <row r="34" spans="3:13" x14ac:dyDescent="0.25">
      <c r="C34" s="3">
        <v>28</v>
      </c>
      <c r="D34" s="2" t="s">
        <v>26</v>
      </c>
      <c r="E34" s="8" t="s">
        <v>202</v>
      </c>
      <c r="F34" s="8" t="s">
        <v>201</v>
      </c>
      <c r="G34" s="4">
        <v>40495</v>
      </c>
      <c r="H34" s="3" t="s">
        <v>8</v>
      </c>
      <c r="I34" s="2" t="s">
        <v>3</v>
      </c>
      <c r="J34" s="2" t="s">
        <v>25</v>
      </c>
      <c r="K34" s="2" t="s">
        <v>1</v>
      </c>
      <c r="L34" s="1">
        <v>57000</v>
      </c>
      <c r="M34" s="8" t="str">
        <f t="shared" si="0"/>
        <v>KASAS28</v>
      </c>
    </row>
    <row r="35" spans="3:13" x14ac:dyDescent="0.25">
      <c r="C35" s="3">
        <v>29</v>
      </c>
      <c r="D35" s="2" t="s">
        <v>24</v>
      </c>
      <c r="E35" s="8" t="s">
        <v>209</v>
      </c>
      <c r="F35" s="8" t="s">
        <v>210</v>
      </c>
      <c r="G35" s="4">
        <v>40574</v>
      </c>
      <c r="H35" s="3" t="s">
        <v>4</v>
      </c>
      <c r="I35" s="2" t="s">
        <v>3</v>
      </c>
      <c r="J35" s="2" t="s">
        <v>7</v>
      </c>
      <c r="K35" s="2" t="s">
        <v>21</v>
      </c>
      <c r="L35" s="1">
        <v>47000</v>
      </c>
      <c r="M35" s="8" t="str">
        <f t="shared" si="0"/>
        <v>JIMAM29</v>
      </c>
    </row>
    <row r="36" spans="3:13" x14ac:dyDescent="0.25">
      <c r="C36" s="3">
        <v>30</v>
      </c>
      <c r="D36" s="2" t="s">
        <v>23</v>
      </c>
      <c r="E36" s="8" t="s">
        <v>150</v>
      </c>
      <c r="F36" s="8" t="s">
        <v>151</v>
      </c>
      <c r="G36" s="4">
        <v>41400</v>
      </c>
      <c r="H36" s="3" t="s">
        <v>4</v>
      </c>
      <c r="I36" s="2" t="s">
        <v>3</v>
      </c>
      <c r="J36" s="2" t="s">
        <v>22</v>
      </c>
      <c r="K36" s="2" t="s">
        <v>21</v>
      </c>
      <c r="L36" s="1">
        <v>77000</v>
      </c>
      <c r="M36" s="8" t="str">
        <f t="shared" si="0"/>
        <v>DALEM30</v>
      </c>
    </row>
    <row r="37" spans="3:13" x14ac:dyDescent="0.25">
      <c r="C37" s="3">
        <v>31</v>
      </c>
      <c r="D37" s="2" t="s">
        <v>20</v>
      </c>
      <c r="E37" s="8" t="s">
        <v>169</v>
      </c>
      <c r="F37" s="8" t="s">
        <v>170</v>
      </c>
      <c r="G37" s="4">
        <v>42027</v>
      </c>
      <c r="H37" s="3" t="s">
        <v>4</v>
      </c>
      <c r="I37" s="2" t="s">
        <v>3</v>
      </c>
      <c r="J37" s="2" t="s">
        <v>19</v>
      </c>
      <c r="K37" s="2" t="s">
        <v>1</v>
      </c>
      <c r="L37" s="1">
        <v>82000</v>
      </c>
      <c r="M37" s="8" t="str">
        <f t="shared" si="0"/>
        <v>PIDIS31</v>
      </c>
    </row>
    <row r="38" spans="3:13" x14ac:dyDescent="0.25">
      <c r="C38" s="3">
        <v>32</v>
      </c>
      <c r="D38" s="2" t="s">
        <v>18</v>
      </c>
      <c r="E38" s="8" t="s">
        <v>172</v>
      </c>
      <c r="F38" s="8" t="s">
        <v>173</v>
      </c>
      <c r="G38" s="4">
        <v>42124</v>
      </c>
      <c r="H38" s="3" t="s">
        <v>4</v>
      </c>
      <c r="I38" s="2" t="s">
        <v>3</v>
      </c>
      <c r="J38" s="2" t="s">
        <v>17</v>
      </c>
      <c r="K38" s="2" t="s">
        <v>1</v>
      </c>
      <c r="L38" s="1">
        <v>67000</v>
      </c>
      <c r="M38" s="8" t="str">
        <f t="shared" si="0"/>
        <v>DINS32</v>
      </c>
    </row>
    <row r="39" spans="3:13" x14ac:dyDescent="0.25">
      <c r="C39" s="3">
        <v>33</v>
      </c>
      <c r="D39" s="2" t="s">
        <v>16</v>
      </c>
      <c r="E39" s="8" t="s">
        <v>194</v>
      </c>
      <c r="F39" s="8" t="s">
        <v>195</v>
      </c>
      <c r="G39" s="4">
        <v>42208</v>
      </c>
      <c r="H39" s="3" t="s">
        <v>4</v>
      </c>
      <c r="I39" s="2" t="s">
        <v>3</v>
      </c>
      <c r="J39" s="2" t="s">
        <v>12</v>
      </c>
      <c r="K39" s="2" t="s">
        <v>1</v>
      </c>
      <c r="L39" s="1">
        <v>65000</v>
      </c>
      <c r="M39" s="8" t="str">
        <f t="shared" si="0"/>
        <v>PROPS33</v>
      </c>
    </row>
    <row r="40" spans="3:13" x14ac:dyDescent="0.25">
      <c r="C40" s="3">
        <v>34</v>
      </c>
      <c r="D40" s="2" t="s">
        <v>15</v>
      </c>
      <c r="E40" s="8" t="s">
        <v>188</v>
      </c>
      <c r="F40" s="8" t="s">
        <v>189</v>
      </c>
      <c r="G40" s="4">
        <v>42400</v>
      </c>
      <c r="H40" s="3" t="s">
        <v>4</v>
      </c>
      <c r="I40" s="2" t="s">
        <v>3</v>
      </c>
      <c r="J40" s="2" t="s">
        <v>14</v>
      </c>
      <c r="K40" s="2" t="s">
        <v>1</v>
      </c>
      <c r="L40" s="1">
        <v>50000</v>
      </c>
      <c r="M40" s="8" t="str">
        <f t="shared" si="0"/>
        <v>SHCCS34</v>
      </c>
    </row>
    <row r="41" spans="3:13" x14ac:dyDescent="0.25">
      <c r="C41" s="3">
        <v>35</v>
      </c>
      <c r="D41" s="2" t="s">
        <v>13</v>
      </c>
      <c r="E41" s="8" t="s">
        <v>180</v>
      </c>
      <c r="F41" s="8" t="s">
        <v>181</v>
      </c>
      <c r="G41" s="4">
        <v>42629</v>
      </c>
      <c r="H41" s="3" t="s">
        <v>8</v>
      </c>
      <c r="I41" s="2" t="s">
        <v>3</v>
      </c>
      <c r="J41" s="2" t="s">
        <v>12</v>
      </c>
      <c r="K41" s="2" t="s">
        <v>1</v>
      </c>
      <c r="L41" s="1">
        <v>81000</v>
      </c>
      <c r="M41" s="8" t="str">
        <f t="shared" si="0"/>
        <v>NIOPS35</v>
      </c>
    </row>
    <row r="42" spans="3:13" x14ac:dyDescent="0.25">
      <c r="C42" s="3">
        <v>36</v>
      </c>
      <c r="D42" s="2" t="s">
        <v>11</v>
      </c>
      <c r="E42" s="8" t="s">
        <v>200</v>
      </c>
      <c r="F42" s="8" t="s">
        <v>201</v>
      </c>
      <c r="G42" s="4">
        <v>42773</v>
      </c>
      <c r="H42" s="3" t="s">
        <v>8</v>
      </c>
      <c r="I42" s="2" t="s">
        <v>3</v>
      </c>
      <c r="J42" s="2" t="s">
        <v>10</v>
      </c>
      <c r="K42" s="2" t="s">
        <v>1</v>
      </c>
      <c r="L42" s="1">
        <v>87000</v>
      </c>
      <c r="M42" s="8" t="str">
        <f t="shared" si="0"/>
        <v>SHDIS36</v>
      </c>
    </row>
    <row r="43" spans="3:13" x14ac:dyDescent="0.25">
      <c r="C43" s="3">
        <v>37</v>
      </c>
      <c r="D43" s="2" t="s">
        <v>9</v>
      </c>
      <c r="E43" s="8" t="s">
        <v>203</v>
      </c>
      <c r="F43" s="8" t="s">
        <v>201</v>
      </c>
      <c r="G43" s="4">
        <v>42890</v>
      </c>
      <c r="H43" s="3" t="s">
        <v>8</v>
      </c>
      <c r="I43" s="2" t="s">
        <v>3</v>
      </c>
      <c r="J43" s="2" t="s">
        <v>7</v>
      </c>
      <c r="K43" s="2" t="s">
        <v>6</v>
      </c>
      <c r="L43" s="1">
        <v>27000</v>
      </c>
      <c r="M43" s="8" t="str">
        <f t="shared" si="0"/>
        <v>VEMAE37</v>
      </c>
    </row>
    <row r="44" spans="3:13" x14ac:dyDescent="0.25">
      <c r="C44" s="3">
        <v>38</v>
      </c>
      <c r="D44" s="2" t="s">
        <v>5</v>
      </c>
      <c r="E44" s="8" t="s">
        <v>182</v>
      </c>
      <c r="F44" s="8" t="s">
        <v>183</v>
      </c>
      <c r="G44" s="4">
        <v>43092</v>
      </c>
      <c r="H44" s="3" t="s">
        <v>4</v>
      </c>
      <c r="I44" s="2" t="s">
        <v>3</v>
      </c>
      <c r="J44" s="2" t="s">
        <v>2</v>
      </c>
      <c r="K44" s="2" t="s">
        <v>1</v>
      </c>
      <c r="L44" s="1">
        <v>19000</v>
      </c>
      <c r="M44" s="8" t="str">
        <f t="shared" si="0"/>
        <v>PRFIS38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I33"/>
  <sheetViews>
    <sheetView workbookViewId="0">
      <selection activeCell="F37" sqref="F37"/>
    </sheetView>
  </sheetViews>
  <sheetFormatPr defaultRowHeight="15" x14ac:dyDescent="0.25"/>
  <cols>
    <col min="2" max="2" width="19.7109375" bestFit="1" customWidth="1"/>
    <col min="3" max="3" width="17.5703125" bestFit="1" customWidth="1"/>
    <col min="5" max="5" width="15.7109375" bestFit="1" customWidth="1"/>
    <col min="6" max="6" width="18.28515625" bestFit="1" customWidth="1"/>
    <col min="7" max="7" width="15.5703125" bestFit="1" customWidth="1"/>
    <col min="8" max="8" width="12" bestFit="1" customWidth="1"/>
    <col min="9" max="9" width="29.28515625" bestFit="1" customWidth="1"/>
  </cols>
  <sheetData>
    <row r="3" spans="2:9" x14ac:dyDescent="0.25">
      <c r="B3" s="9" t="s">
        <v>69</v>
      </c>
      <c r="C3" s="39">
        <f ca="1">TODAY()</f>
        <v>46277</v>
      </c>
      <c r="F3" s="9" t="s">
        <v>70</v>
      </c>
      <c r="G3" s="39">
        <f ca="1">TODAY()-14</f>
        <v>46263</v>
      </c>
    </row>
    <row r="4" spans="2:9" x14ac:dyDescent="0.25">
      <c r="B4" s="9" t="s">
        <v>71</v>
      </c>
      <c r="C4" s="40">
        <f ca="1">NOW()</f>
        <v>46277.874105555558</v>
      </c>
      <c r="F4" s="9" t="s">
        <v>72</v>
      </c>
      <c r="G4" s="40">
        <f ca="1">NOW()-14</f>
        <v>46263.874105555558</v>
      </c>
    </row>
    <row r="6" spans="2:9" x14ac:dyDescent="0.25">
      <c r="B6" s="9" t="s">
        <v>73</v>
      </c>
      <c r="C6" s="9" t="s">
        <v>74</v>
      </c>
      <c r="D6" s="9" t="s">
        <v>75</v>
      </c>
      <c r="E6" s="9" t="s">
        <v>76</v>
      </c>
      <c r="F6" s="9" t="s">
        <v>77</v>
      </c>
      <c r="G6" s="9" t="s">
        <v>78</v>
      </c>
      <c r="H6" s="9" t="s">
        <v>79</v>
      </c>
      <c r="I6" s="9" t="s">
        <v>80</v>
      </c>
    </row>
    <row r="7" spans="2:9" x14ac:dyDescent="0.25">
      <c r="B7" s="2" t="s">
        <v>46</v>
      </c>
      <c r="C7" s="4">
        <v>36478</v>
      </c>
      <c r="D7" s="10">
        <f>DAY(C7)</f>
        <v>14</v>
      </c>
      <c r="E7" s="10">
        <f>MONTH(C7)</f>
        <v>11</v>
      </c>
      <c r="F7" s="10" t="str">
        <f>TEXT(C7,"mmm")</f>
        <v>Nov</v>
      </c>
      <c r="G7" s="10">
        <f>YEAR(C7)</f>
        <v>1999</v>
      </c>
      <c r="H7" s="39" t="str">
        <f ca="1">TEXT(TODAY()-C7,"yy")</f>
        <v>26</v>
      </c>
      <c r="I7" s="10" t="str">
        <f ca="1">DATEDIF(C7,$C$3,"Y")&amp;" Years, "&amp;DATEDIF(C7,$C$3,"YM")&amp;" Months, "&amp;DATEDIF(C7,$C$3,"MD")&amp;" Days"</f>
        <v>26 Years, 9 Months, 29 Days</v>
      </c>
    </row>
    <row r="8" spans="2:9" x14ac:dyDescent="0.25">
      <c r="B8" s="2" t="s">
        <v>45</v>
      </c>
      <c r="C8" s="4">
        <v>37027</v>
      </c>
      <c r="D8" s="10">
        <f t="shared" ref="D8:D18" si="0">DAY(C8)</f>
        <v>16</v>
      </c>
      <c r="E8" s="10">
        <f t="shared" ref="E8:E18" si="1">MONTH(C8)</f>
        <v>5</v>
      </c>
      <c r="F8" s="10" t="str">
        <f t="shared" ref="F8:F18" si="2">TEXT(C8,"mmm")</f>
        <v>May</v>
      </c>
      <c r="G8" s="10">
        <f t="shared" ref="G8:G18" si="3">YEAR(C8)</f>
        <v>2001</v>
      </c>
      <c r="H8" s="39" t="str">
        <f t="shared" ref="H8:H18" ca="1" si="4">TEXT(TODAY()-C8,"yy")</f>
        <v>25</v>
      </c>
      <c r="I8" s="10" t="str">
        <f t="shared" ref="I8:I18" ca="1" si="5">DATEDIF(C8,$C$3,"Y")&amp;" Years, "&amp;DATEDIF(C8,$C$3,"YM")&amp;" Months, "&amp;DATEDIF(C8,$C$3,"MD")&amp;" Days"</f>
        <v>25 Years, 3 Months, 27 Days</v>
      </c>
    </row>
    <row r="9" spans="2:9" x14ac:dyDescent="0.25">
      <c r="B9" s="2" t="s">
        <v>44</v>
      </c>
      <c r="C9" s="4">
        <v>37946</v>
      </c>
      <c r="D9" s="10">
        <f t="shared" si="0"/>
        <v>21</v>
      </c>
      <c r="E9" s="10">
        <f t="shared" si="1"/>
        <v>11</v>
      </c>
      <c r="F9" s="10" t="str">
        <f t="shared" si="2"/>
        <v>Nov</v>
      </c>
      <c r="G9" s="10">
        <f t="shared" si="3"/>
        <v>2003</v>
      </c>
      <c r="H9" s="39" t="str">
        <f t="shared" ca="1" si="4"/>
        <v>22</v>
      </c>
      <c r="I9" s="10" t="str">
        <f t="shared" ca="1" si="5"/>
        <v>22 Years, 9 Months, 22 Days</v>
      </c>
    </row>
    <row r="10" spans="2:9" x14ac:dyDescent="0.25">
      <c r="B10" s="2" t="s">
        <v>43</v>
      </c>
      <c r="C10" s="4">
        <v>38113</v>
      </c>
      <c r="D10" s="10">
        <f t="shared" si="0"/>
        <v>6</v>
      </c>
      <c r="E10" s="10">
        <f t="shared" si="1"/>
        <v>5</v>
      </c>
      <c r="F10" s="10" t="str">
        <f t="shared" si="2"/>
        <v>May</v>
      </c>
      <c r="G10" s="10">
        <f t="shared" si="3"/>
        <v>2004</v>
      </c>
      <c r="H10" s="39" t="str">
        <f t="shared" ca="1" si="4"/>
        <v>22</v>
      </c>
      <c r="I10" s="10" t="str">
        <f t="shared" ca="1" si="5"/>
        <v>22 Years, 4 Months, 6 Days</v>
      </c>
    </row>
    <row r="11" spans="2:9" x14ac:dyDescent="0.25">
      <c r="B11" s="2" t="s">
        <v>42</v>
      </c>
      <c r="C11" s="4">
        <v>38449</v>
      </c>
      <c r="D11" s="10">
        <f t="shared" si="0"/>
        <v>7</v>
      </c>
      <c r="E11" s="10">
        <f t="shared" si="1"/>
        <v>4</v>
      </c>
      <c r="F11" s="10" t="str">
        <f t="shared" si="2"/>
        <v>Apr</v>
      </c>
      <c r="G11" s="10">
        <f t="shared" si="3"/>
        <v>2005</v>
      </c>
      <c r="H11" s="39" t="str">
        <f t="shared" ca="1" si="4"/>
        <v>21</v>
      </c>
      <c r="I11" s="10" t="str">
        <f t="shared" ca="1" si="5"/>
        <v>21 Years, 5 Months, 5 Days</v>
      </c>
    </row>
    <row r="12" spans="2:9" x14ac:dyDescent="0.25">
      <c r="B12" s="2" t="s">
        <v>41</v>
      </c>
      <c r="C12" s="4">
        <v>39846</v>
      </c>
      <c r="D12" s="10">
        <f t="shared" si="0"/>
        <v>2</v>
      </c>
      <c r="E12" s="10">
        <f t="shared" si="1"/>
        <v>2</v>
      </c>
      <c r="F12" s="10" t="str">
        <f t="shared" si="2"/>
        <v>Feb</v>
      </c>
      <c r="G12" s="10">
        <f t="shared" si="3"/>
        <v>2009</v>
      </c>
      <c r="H12" s="39" t="str">
        <f t="shared" ca="1" si="4"/>
        <v>17</v>
      </c>
      <c r="I12" s="10" t="str">
        <f t="shared" ca="1" si="5"/>
        <v>17 Years, 7 Months, 10 Days</v>
      </c>
    </row>
    <row r="13" spans="2:9" x14ac:dyDescent="0.25">
      <c r="B13" s="2" t="s">
        <v>40</v>
      </c>
      <c r="C13" s="4">
        <v>40330</v>
      </c>
      <c r="D13" s="10">
        <f t="shared" si="0"/>
        <v>1</v>
      </c>
      <c r="E13" s="10">
        <f t="shared" si="1"/>
        <v>6</v>
      </c>
      <c r="F13" s="10" t="str">
        <f t="shared" si="2"/>
        <v>Jun</v>
      </c>
      <c r="G13" s="10">
        <f t="shared" si="3"/>
        <v>2010</v>
      </c>
      <c r="H13" s="39" t="str">
        <f t="shared" ca="1" si="4"/>
        <v>16</v>
      </c>
      <c r="I13" s="10" t="str">
        <f t="shared" ca="1" si="5"/>
        <v>16 Years, 3 Months, 11 Days</v>
      </c>
    </row>
    <row r="14" spans="2:9" x14ac:dyDescent="0.25">
      <c r="B14" s="2" t="s">
        <v>38</v>
      </c>
      <c r="C14" s="4">
        <v>40495</v>
      </c>
      <c r="D14" s="10">
        <f t="shared" si="0"/>
        <v>13</v>
      </c>
      <c r="E14" s="10">
        <f t="shared" si="1"/>
        <v>11</v>
      </c>
      <c r="F14" s="10" t="str">
        <f t="shared" si="2"/>
        <v>Nov</v>
      </c>
      <c r="G14" s="10">
        <f t="shared" si="3"/>
        <v>2010</v>
      </c>
      <c r="H14" s="39" t="str">
        <f t="shared" ca="1" si="4"/>
        <v>15</v>
      </c>
      <c r="I14" s="10" t="str">
        <f t="shared" ca="1" si="5"/>
        <v>15 Years, 9 Months, 30 Days</v>
      </c>
    </row>
    <row r="15" spans="2:9" x14ac:dyDescent="0.25">
      <c r="B15" s="2" t="s">
        <v>35</v>
      </c>
      <c r="C15" s="4">
        <v>40574</v>
      </c>
      <c r="D15" s="10">
        <f t="shared" si="0"/>
        <v>31</v>
      </c>
      <c r="E15" s="10">
        <f t="shared" si="1"/>
        <v>1</v>
      </c>
      <c r="F15" s="10" t="str">
        <f t="shared" si="2"/>
        <v>Jan</v>
      </c>
      <c r="G15" s="10">
        <f t="shared" si="3"/>
        <v>2011</v>
      </c>
      <c r="H15" s="39" t="str">
        <f t="shared" ca="1" si="4"/>
        <v>15</v>
      </c>
      <c r="I15" s="10" t="str">
        <f t="shared" ca="1" si="5"/>
        <v>15 Years, 7 Months, 12 Days</v>
      </c>
    </row>
    <row r="16" spans="2:9" x14ac:dyDescent="0.25">
      <c r="B16" s="2" t="s">
        <v>33</v>
      </c>
      <c r="C16" s="4">
        <v>41400</v>
      </c>
      <c r="D16" s="10">
        <f t="shared" si="0"/>
        <v>6</v>
      </c>
      <c r="E16" s="10">
        <f t="shared" si="1"/>
        <v>5</v>
      </c>
      <c r="F16" s="10" t="str">
        <f t="shared" si="2"/>
        <v>May</v>
      </c>
      <c r="G16" s="10">
        <f t="shared" si="3"/>
        <v>2013</v>
      </c>
      <c r="H16" s="39" t="str">
        <f t="shared" ca="1" si="4"/>
        <v>13</v>
      </c>
      <c r="I16" s="10" t="str">
        <f t="shared" ca="1" si="5"/>
        <v>13 Years, 4 Months, 6 Days</v>
      </c>
    </row>
    <row r="17" spans="2:9" x14ac:dyDescent="0.25">
      <c r="B17" s="2" t="s">
        <v>32</v>
      </c>
      <c r="C17" s="4">
        <v>42027</v>
      </c>
      <c r="D17" s="10">
        <f t="shared" si="0"/>
        <v>23</v>
      </c>
      <c r="E17" s="10">
        <f t="shared" si="1"/>
        <v>1</v>
      </c>
      <c r="F17" s="10" t="str">
        <f t="shared" si="2"/>
        <v>Jan</v>
      </c>
      <c r="G17" s="10">
        <f t="shared" si="3"/>
        <v>2015</v>
      </c>
      <c r="H17" s="39" t="str">
        <f t="shared" ca="1" si="4"/>
        <v>11</v>
      </c>
      <c r="I17" s="10" t="str">
        <f t="shared" ca="1" si="5"/>
        <v>11 Years, 7 Months, 20 Days</v>
      </c>
    </row>
    <row r="18" spans="2:9" x14ac:dyDescent="0.25">
      <c r="B18" s="2" t="s">
        <v>31</v>
      </c>
      <c r="C18" s="4">
        <v>42124</v>
      </c>
      <c r="D18" s="10">
        <f t="shared" si="0"/>
        <v>30</v>
      </c>
      <c r="E18" s="10">
        <f t="shared" si="1"/>
        <v>4</v>
      </c>
      <c r="F18" s="10" t="str">
        <f t="shared" si="2"/>
        <v>Apr</v>
      </c>
      <c r="G18" s="10">
        <f t="shared" si="3"/>
        <v>2015</v>
      </c>
      <c r="H18" s="39" t="str">
        <f t="shared" ca="1" si="4"/>
        <v>11</v>
      </c>
      <c r="I18" s="10" t="str">
        <f t="shared" ca="1" si="5"/>
        <v>11 Years, 4 Months, 13 Days</v>
      </c>
    </row>
    <row r="22" spans="2:9" x14ac:dyDescent="0.25">
      <c r="B22" s="11" t="s">
        <v>81</v>
      </c>
    </row>
    <row r="24" spans="2:9" x14ac:dyDescent="0.25">
      <c r="B24" s="12" t="s">
        <v>82</v>
      </c>
      <c r="C24" s="12" t="s">
        <v>83</v>
      </c>
    </row>
    <row r="25" spans="2:9" x14ac:dyDescent="0.25">
      <c r="B25" s="13" t="s">
        <v>220</v>
      </c>
      <c r="C25" s="41">
        <f>DATE(LEFT(B25,4),MID(B25,5,2),MID(B25,7,2))</f>
        <v>39256</v>
      </c>
    </row>
    <row r="26" spans="2:9" x14ac:dyDescent="0.25">
      <c r="B26" s="14">
        <v>20070624</v>
      </c>
      <c r="C26" s="41">
        <f t="shared" ref="C26:C33" si="6">DATE(LEFT(B26,4),MID(B26,5,2),MID(B26,7,2))</f>
        <v>39257</v>
      </c>
    </row>
    <row r="27" spans="2:9" x14ac:dyDescent="0.25">
      <c r="B27" s="14">
        <v>20070523</v>
      </c>
      <c r="C27" s="41">
        <f t="shared" si="6"/>
        <v>39225</v>
      </c>
    </row>
    <row r="28" spans="2:9" x14ac:dyDescent="0.25">
      <c r="B28" s="14">
        <v>20061202</v>
      </c>
      <c r="C28" s="41">
        <f t="shared" si="6"/>
        <v>39053</v>
      </c>
    </row>
    <row r="29" spans="2:9" x14ac:dyDescent="0.25">
      <c r="B29" s="14">
        <v>20070112</v>
      </c>
      <c r="C29" s="41">
        <f t="shared" si="6"/>
        <v>39094</v>
      </c>
    </row>
    <row r="30" spans="2:9" x14ac:dyDescent="0.25">
      <c r="B30" s="14">
        <v>20070519</v>
      </c>
      <c r="C30" s="41">
        <f t="shared" si="6"/>
        <v>39221</v>
      </c>
    </row>
    <row r="31" spans="2:9" x14ac:dyDescent="0.25">
      <c r="B31" s="14">
        <v>20080419</v>
      </c>
      <c r="C31" s="41">
        <f t="shared" si="6"/>
        <v>39557</v>
      </c>
    </row>
    <row r="32" spans="2:9" x14ac:dyDescent="0.25">
      <c r="B32" s="14">
        <v>20071017</v>
      </c>
      <c r="C32" s="41">
        <f t="shared" si="6"/>
        <v>39372</v>
      </c>
    </row>
    <row r="33" spans="2:3" x14ac:dyDescent="0.25">
      <c r="B33" s="15">
        <v>20051220</v>
      </c>
      <c r="C33" s="41">
        <f t="shared" si="6"/>
        <v>38706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workbookViewId="0">
      <selection activeCell="H10" sqref="H10"/>
    </sheetView>
  </sheetViews>
  <sheetFormatPr defaultRowHeight="12.75" x14ac:dyDescent="0.2"/>
  <cols>
    <col min="1" max="1" width="12.85546875" style="16" bestFit="1" customWidth="1"/>
    <col min="2" max="2" width="11.7109375" style="16" customWidth="1"/>
    <col min="3" max="3" width="10.28515625" style="16" customWidth="1"/>
    <col min="4" max="4" width="12.28515625" style="16" customWidth="1"/>
    <col min="5" max="5" width="8.85546875" style="16"/>
    <col min="6" max="6" width="12.7109375" style="16" bestFit="1" customWidth="1"/>
    <col min="7" max="7" width="8.85546875" style="16"/>
    <col min="8" max="8" width="43" style="16" customWidth="1"/>
    <col min="9" max="11" width="8.85546875" style="16"/>
    <col min="12" max="12" width="12.7109375" style="16" bestFit="1" customWidth="1"/>
    <col min="13" max="14" width="8.85546875" style="16"/>
    <col min="15" max="15" width="43.28515625" style="16" customWidth="1"/>
    <col min="16" max="18" width="8.85546875" style="16"/>
    <col min="19" max="19" width="12.28515625" style="16" bestFit="1" customWidth="1"/>
    <col min="20" max="256" width="8.85546875" style="16"/>
    <col min="257" max="257" width="12.85546875" style="16" bestFit="1" customWidth="1"/>
    <col min="258" max="258" width="11.7109375" style="16" customWidth="1"/>
    <col min="259" max="259" width="10.28515625" style="16" customWidth="1"/>
    <col min="260" max="260" width="12.28515625" style="16" customWidth="1"/>
    <col min="261" max="261" width="8.85546875" style="16"/>
    <col min="262" max="262" width="10.140625" style="16" customWidth="1"/>
    <col min="263" max="263" width="8.85546875" style="16"/>
    <col min="264" max="264" width="9.7109375" style="16" bestFit="1" customWidth="1"/>
    <col min="265" max="512" width="8.85546875" style="16"/>
    <col min="513" max="513" width="12.85546875" style="16" bestFit="1" customWidth="1"/>
    <col min="514" max="514" width="11.7109375" style="16" customWidth="1"/>
    <col min="515" max="515" width="10.28515625" style="16" customWidth="1"/>
    <col min="516" max="516" width="12.28515625" style="16" customWidth="1"/>
    <col min="517" max="517" width="8.85546875" style="16"/>
    <col min="518" max="518" width="10.140625" style="16" customWidth="1"/>
    <col min="519" max="519" width="8.85546875" style="16"/>
    <col min="520" max="520" width="9.7109375" style="16" bestFit="1" customWidth="1"/>
    <col min="521" max="768" width="8.85546875" style="16"/>
    <col min="769" max="769" width="12.85546875" style="16" bestFit="1" customWidth="1"/>
    <col min="770" max="770" width="11.7109375" style="16" customWidth="1"/>
    <col min="771" max="771" width="10.28515625" style="16" customWidth="1"/>
    <col min="772" max="772" width="12.28515625" style="16" customWidth="1"/>
    <col min="773" max="773" width="8.85546875" style="16"/>
    <col min="774" max="774" width="10.140625" style="16" customWidth="1"/>
    <col min="775" max="775" width="8.85546875" style="16"/>
    <col min="776" max="776" width="9.7109375" style="16" bestFit="1" customWidth="1"/>
    <col min="777" max="1024" width="8.85546875" style="16"/>
    <col min="1025" max="1025" width="12.85546875" style="16" bestFit="1" customWidth="1"/>
    <col min="1026" max="1026" width="11.7109375" style="16" customWidth="1"/>
    <col min="1027" max="1027" width="10.28515625" style="16" customWidth="1"/>
    <col min="1028" max="1028" width="12.28515625" style="16" customWidth="1"/>
    <col min="1029" max="1029" width="8.85546875" style="16"/>
    <col min="1030" max="1030" width="10.140625" style="16" customWidth="1"/>
    <col min="1031" max="1031" width="8.85546875" style="16"/>
    <col min="1032" max="1032" width="9.7109375" style="16" bestFit="1" customWidth="1"/>
    <col min="1033" max="1280" width="8.85546875" style="16"/>
    <col min="1281" max="1281" width="12.85546875" style="16" bestFit="1" customWidth="1"/>
    <col min="1282" max="1282" width="11.7109375" style="16" customWidth="1"/>
    <col min="1283" max="1283" width="10.28515625" style="16" customWidth="1"/>
    <col min="1284" max="1284" width="12.28515625" style="16" customWidth="1"/>
    <col min="1285" max="1285" width="8.85546875" style="16"/>
    <col min="1286" max="1286" width="10.140625" style="16" customWidth="1"/>
    <col min="1287" max="1287" width="8.85546875" style="16"/>
    <col min="1288" max="1288" width="9.7109375" style="16" bestFit="1" customWidth="1"/>
    <col min="1289" max="1536" width="8.85546875" style="16"/>
    <col min="1537" max="1537" width="12.85546875" style="16" bestFit="1" customWidth="1"/>
    <col min="1538" max="1538" width="11.7109375" style="16" customWidth="1"/>
    <col min="1539" max="1539" width="10.28515625" style="16" customWidth="1"/>
    <col min="1540" max="1540" width="12.28515625" style="16" customWidth="1"/>
    <col min="1541" max="1541" width="8.85546875" style="16"/>
    <col min="1542" max="1542" width="10.140625" style="16" customWidth="1"/>
    <col min="1543" max="1543" width="8.85546875" style="16"/>
    <col min="1544" max="1544" width="9.7109375" style="16" bestFit="1" customWidth="1"/>
    <col min="1545" max="1792" width="8.85546875" style="16"/>
    <col min="1793" max="1793" width="12.85546875" style="16" bestFit="1" customWidth="1"/>
    <col min="1794" max="1794" width="11.7109375" style="16" customWidth="1"/>
    <col min="1795" max="1795" width="10.28515625" style="16" customWidth="1"/>
    <col min="1796" max="1796" width="12.28515625" style="16" customWidth="1"/>
    <col min="1797" max="1797" width="8.85546875" style="16"/>
    <col min="1798" max="1798" width="10.140625" style="16" customWidth="1"/>
    <col min="1799" max="1799" width="8.85546875" style="16"/>
    <col min="1800" max="1800" width="9.7109375" style="16" bestFit="1" customWidth="1"/>
    <col min="1801" max="2048" width="8.85546875" style="16"/>
    <col min="2049" max="2049" width="12.85546875" style="16" bestFit="1" customWidth="1"/>
    <col min="2050" max="2050" width="11.7109375" style="16" customWidth="1"/>
    <col min="2051" max="2051" width="10.28515625" style="16" customWidth="1"/>
    <col min="2052" max="2052" width="12.28515625" style="16" customWidth="1"/>
    <col min="2053" max="2053" width="8.85546875" style="16"/>
    <col min="2054" max="2054" width="10.140625" style="16" customWidth="1"/>
    <col min="2055" max="2055" width="8.85546875" style="16"/>
    <col min="2056" max="2056" width="9.7109375" style="16" bestFit="1" customWidth="1"/>
    <col min="2057" max="2304" width="8.85546875" style="16"/>
    <col min="2305" max="2305" width="12.85546875" style="16" bestFit="1" customWidth="1"/>
    <col min="2306" max="2306" width="11.7109375" style="16" customWidth="1"/>
    <col min="2307" max="2307" width="10.28515625" style="16" customWidth="1"/>
    <col min="2308" max="2308" width="12.28515625" style="16" customWidth="1"/>
    <col min="2309" max="2309" width="8.85546875" style="16"/>
    <col min="2310" max="2310" width="10.140625" style="16" customWidth="1"/>
    <col min="2311" max="2311" width="8.85546875" style="16"/>
    <col min="2312" max="2312" width="9.7109375" style="16" bestFit="1" customWidth="1"/>
    <col min="2313" max="2560" width="8.85546875" style="16"/>
    <col min="2561" max="2561" width="12.85546875" style="16" bestFit="1" customWidth="1"/>
    <col min="2562" max="2562" width="11.7109375" style="16" customWidth="1"/>
    <col min="2563" max="2563" width="10.28515625" style="16" customWidth="1"/>
    <col min="2564" max="2564" width="12.28515625" style="16" customWidth="1"/>
    <col min="2565" max="2565" width="8.85546875" style="16"/>
    <col min="2566" max="2566" width="10.140625" style="16" customWidth="1"/>
    <col min="2567" max="2567" width="8.85546875" style="16"/>
    <col min="2568" max="2568" width="9.7109375" style="16" bestFit="1" customWidth="1"/>
    <col min="2569" max="2816" width="8.85546875" style="16"/>
    <col min="2817" max="2817" width="12.85546875" style="16" bestFit="1" customWidth="1"/>
    <col min="2818" max="2818" width="11.7109375" style="16" customWidth="1"/>
    <col min="2819" max="2819" width="10.28515625" style="16" customWidth="1"/>
    <col min="2820" max="2820" width="12.28515625" style="16" customWidth="1"/>
    <col min="2821" max="2821" width="8.85546875" style="16"/>
    <col min="2822" max="2822" width="10.140625" style="16" customWidth="1"/>
    <col min="2823" max="2823" width="8.85546875" style="16"/>
    <col min="2824" max="2824" width="9.7109375" style="16" bestFit="1" customWidth="1"/>
    <col min="2825" max="3072" width="8.85546875" style="16"/>
    <col min="3073" max="3073" width="12.85546875" style="16" bestFit="1" customWidth="1"/>
    <col min="3074" max="3074" width="11.7109375" style="16" customWidth="1"/>
    <col min="3075" max="3075" width="10.28515625" style="16" customWidth="1"/>
    <col min="3076" max="3076" width="12.28515625" style="16" customWidth="1"/>
    <col min="3077" max="3077" width="8.85546875" style="16"/>
    <col min="3078" max="3078" width="10.140625" style="16" customWidth="1"/>
    <col min="3079" max="3079" width="8.85546875" style="16"/>
    <col min="3080" max="3080" width="9.7109375" style="16" bestFit="1" customWidth="1"/>
    <col min="3081" max="3328" width="8.85546875" style="16"/>
    <col min="3329" max="3329" width="12.85546875" style="16" bestFit="1" customWidth="1"/>
    <col min="3330" max="3330" width="11.7109375" style="16" customWidth="1"/>
    <col min="3331" max="3331" width="10.28515625" style="16" customWidth="1"/>
    <col min="3332" max="3332" width="12.28515625" style="16" customWidth="1"/>
    <col min="3333" max="3333" width="8.85546875" style="16"/>
    <col min="3334" max="3334" width="10.140625" style="16" customWidth="1"/>
    <col min="3335" max="3335" width="8.85546875" style="16"/>
    <col min="3336" max="3336" width="9.7109375" style="16" bestFit="1" customWidth="1"/>
    <col min="3337" max="3584" width="8.85546875" style="16"/>
    <col min="3585" max="3585" width="12.85546875" style="16" bestFit="1" customWidth="1"/>
    <col min="3586" max="3586" width="11.7109375" style="16" customWidth="1"/>
    <col min="3587" max="3587" width="10.28515625" style="16" customWidth="1"/>
    <col min="3588" max="3588" width="12.28515625" style="16" customWidth="1"/>
    <col min="3589" max="3589" width="8.85546875" style="16"/>
    <col min="3590" max="3590" width="10.140625" style="16" customWidth="1"/>
    <col min="3591" max="3591" width="8.85546875" style="16"/>
    <col min="3592" max="3592" width="9.7109375" style="16" bestFit="1" customWidth="1"/>
    <col min="3593" max="3840" width="8.85546875" style="16"/>
    <col min="3841" max="3841" width="12.85546875" style="16" bestFit="1" customWidth="1"/>
    <col min="3842" max="3842" width="11.7109375" style="16" customWidth="1"/>
    <col min="3843" max="3843" width="10.28515625" style="16" customWidth="1"/>
    <col min="3844" max="3844" width="12.28515625" style="16" customWidth="1"/>
    <col min="3845" max="3845" width="8.85546875" style="16"/>
    <col min="3846" max="3846" width="10.140625" style="16" customWidth="1"/>
    <col min="3847" max="3847" width="8.85546875" style="16"/>
    <col min="3848" max="3848" width="9.7109375" style="16" bestFit="1" customWidth="1"/>
    <col min="3849" max="4096" width="8.85546875" style="16"/>
    <col min="4097" max="4097" width="12.85546875" style="16" bestFit="1" customWidth="1"/>
    <col min="4098" max="4098" width="11.7109375" style="16" customWidth="1"/>
    <col min="4099" max="4099" width="10.28515625" style="16" customWidth="1"/>
    <col min="4100" max="4100" width="12.28515625" style="16" customWidth="1"/>
    <col min="4101" max="4101" width="8.85546875" style="16"/>
    <col min="4102" max="4102" width="10.140625" style="16" customWidth="1"/>
    <col min="4103" max="4103" width="8.85546875" style="16"/>
    <col min="4104" max="4104" width="9.7109375" style="16" bestFit="1" customWidth="1"/>
    <col min="4105" max="4352" width="8.85546875" style="16"/>
    <col min="4353" max="4353" width="12.85546875" style="16" bestFit="1" customWidth="1"/>
    <col min="4354" max="4354" width="11.7109375" style="16" customWidth="1"/>
    <col min="4355" max="4355" width="10.28515625" style="16" customWidth="1"/>
    <col min="4356" max="4356" width="12.28515625" style="16" customWidth="1"/>
    <col min="4357" max="4357" width="8.85546875" style="16"/>
    <col min="4358" max="4358" width="10.140625" style="16" customWidth="1"/>
    <col min="4359" max="4359" width="8.85546875" style="16"/>
    <col min="4360" max="4360" width="9.7109375" style="16" bestFit="1" customWidth="1"/>
    <col min="4361" max="4608" width="8.85546875" style="16"/>
    <col min="4609" max="4609" width="12.85546875" style="16" bestFit="1" customWidth="1"/>
    <col min="4610" max="4610" width="11.7109375" style="16" customWidth="1"/>
    <col min="4611" max="4611" width="10.28515625" style="16" customWidth="1"/>
    <col min="4612" max="4612" width="12.28515625" style="16" customWidth="1"/>
    <col min="4613" max="4613" width="8.85546875" style="16"/>
    <col min="4614" max="4614" width="10.140625" style="16" customWidth="1"/>
    <col min="4615" max="4615" width="8.85546875" style="16"/>
    <col min="4616" max="4616" width="9.7109375" style="16" bestFit="1" customWidth="1"/>
    <col min="4617" max="4864" width="8.85546875" style="16"/>
    <col min="4865" max="4865" width="12.85546875" style="16" bestFit="1" customWidth="1"/>
    <col min="4866" max="4866" width="11.7109375" style="16" customWidth="1"/>
    <col min="4867" max="4867" width="10.28515625" style="16" customWidth="1"/>
    <col min="4868" max="4868" width="12.28515625" style="16" customWidth="1"/>
    <col min="4869" max="4869" width="8.85546875" style="16"/>
    <col min="4870" max="4870" width="10.140625" style="16" customWidth="1"/>
    <col min="4871" max="4871" width="8.85546875" style="16"/>
    <col min="4872" max="4872" width="9.7109375" style="16" bestFit="1" customWidth="1"/>
    <col min="4873" max="5120" width="8.85546875" style="16"/>
    <col min="5121" max="5121" width="12.85546875" style="16" bestFit="1" customWidth="1"/>
    <col min="5122" max="5122" width="11.7109375" style="16" customWidth="1"/>
    <col min="5123" max="5123" width="10.28515625" style="16" customWidth="1"/>
    <col min="5124" max="5124" width="12.28515625" style="16" customWidth="1"/>
    <col min="5125" max="5125" width="8.85546875" style="16"/>
    <col min="5126" max="5126" width="10.140625" style="16" customWidth="1"/>
    <col min="5127" max="5127" width="8.85546875" style="16"/>
    <col min="5128" max="5128" width="9.7109375" style="16" bestFit="1" customWidth="1"/>
    <col min="5129" max="5376" width="8.85546875" style="16"/>
    <col min="5377" max="5377" width="12.85546875" style="16" bestFit="1" customWidth="1"/>
    <col min="5378" max="5378" width="11.7109375" style="16" customWidth="1"/>
    <col min="5379" max="5379" width="10.28515625" style="16" customWidth="1"/>
    <col min="5380" max="5380" width="12.28515625" style="16" customWidth="1"/>
    <col min="5381" max="5381" width="8.85546875" style="16"/>
    <col min="5382" max="5382" width="10.140625" style="16" customWidth="1"/>
    <col min="5383" max="5383" width="8.85546875" style="16"/>
    <col min="5384" max="5384" width="9.7109375" style="16" bestFit="1" customWidth="1"/>
    <col min="5385" max="5632" width="8.85546875" style="16"/>
    <col min="5633" max="5633" width="12.85546875" style="16" bestFit="1" customWidth="1"/>
    <col min="5634" max="5634" width="11.7109375" style="16" customWidth="1"/>
    <col min="5635" max="5635" width="10.28515625" style="16" customWidth="1"/>
    <col min="5636" max="5636" width="12.28515625" style="16" customWidth="1"/>
    <col min="5637" max="5637" width="8.85546875" style="16"/>
    <col min="5638" max="5638" width="10.140625" style="16" customWidth="1"/>
    <col min="5639" max="5639" width="8.85546875" style="16"/>
    <col min="5640" max="5640" width="9.7109375" style="16" bestFit="1" customWidth="1"/>
    <col min="5641" max="5888" width="8.85546875" style="16"/>
    <col min="5889" max="5889" width="12.85546875" style="16" bestFit="1" customWidth="1"/>
    <col min="5890" max="5890" width="11.7109375" style="16" customWidth="1"/>
    <col min="5891" max="5891" width="10.28515625" style="16" customWidth="1"/>
    <col min="5892" max="5892" width="12.28515625" style="16" customWidth="1"/>
    <col min="5893" max="5893" width="8.85546875" style="16"/>
    <col min="5894" max="5894" width="10.140625" style="16" customWidth="1"/>
    <col min="5895" max="5895" width="8.85546875" style="16"/>
    <col min="5896" max="5896" width="9.7109375" style="16" bestFit="1" customWidth="1"/>
    <col min="5897" max="6144" width="8.85546875" style="16"/>
    <col min="6145" max="6145" width="12.85546875" style="16" bestFit="1" customWidth="1"/>
    <col min="6146" max="6146" width="11.7109375" style="16" customWidth="1"/>
    <col min="6147" max="6147" width="10.28515625" style="16" customWidth="1"/>
    <col min="6148" max="6148" width="12.28515625" style="16" customWidth="1"/>
    <col min="6149" max="6149" width="8.85546875" style="16"/>
    <col min="6150" max="6150" width="10.140625" style="16" customWidth="1"/>
    <col min="6151" max="6151" width="8.85546875" style="16"/>
    <col min="6152" max="6152" width="9.7109375" style="16" bestFit="1" customWidth="1"/>
    <col min="6153" max="6400" width="8.85546875" style="16"/>
    <col min="6401" max="6401" width="12.85546875" style="16" bestFit="1" customWidth="1"/>
    <col min="6402" max="6402" width="11.7109375" style="16" customWidth="1"/>
    <col min="6403" max="6403" width="10.28515625" style="16" customWidth="1"/>
    <col min="6404" max="6404" width="12.28515625" style="16" customWidth="1"/>
    <col min="6405" max="6405" width="8.85546875" style="16"/>
    <col min="6406" max="6406" width="10.140625" style="16" customWidth="1"/>
    <col min="6407" max="6407" width="8.85546875" style="16"/>
    <col min="6408" max="6408" width="9.7109375" style="16" bestFit="1" customWidth="1"/>
    <col min="6409" max="6656" width="8.85546875" style="16"/>
    <col min="6657" max="6657" width="12.85546875" style="16" bestFit="1" customWidth="1"/>
    <col min="6658" max="6658" width="11.7109375" style="16" customWidth="1"/>
    <col min="6659" max="6659" width="10.28515625" style="16" customWidth="1"/>
    <col min="6660" max="6660" width="12.28515625" style="16" customWidth="1"/>
    <col min="6661" max="6661" width="8.85546875" style="16"/>
    <col min="6662" max="6662" width="10.140625" style="16" customWidth="1"/>
    <col min="6663" max="6663" width="8.85546875" style="16"/>
    <col min="6664" max="6664" width="9.7109375" style="16" bestFit="1" customWidth="1"/>
    <col min="6665" max="6912" width="8.85546875" style="16"/>
    <col min="6913" max="6913" width="12.85546875" style="16" bestFit="1" customWidth="1"/>
    <col min="6914" max="6914" width="11.7109375" style="16" customWidth="1"/>
    <col min="6915" max="6915" width="10.28515625" style="16" customWidth="1"/>
    <col min="6916" max="6916" width="12.28515625" style="16" customWidth="1"/>
    <col min="6917" max="6917" width="8.85546875" style="16"/>
    <col min="6918" max="6918" width="10.140625" style="16" customWidth="1"/>
    <col min="6919" max="6919" width="8.85546875" style="16"/>
    <col min="6920" max="6920" width="9.7109375" style="16" bestFit="1" customWidth="1"/>
    <col min="6921" max="7168" width="8.85546875" style="16"/>
    <col min="7169" max="7169" width="12.85546875" style="16" bestFit="1" customWidth="1"/>
    <col min="7170" max="7170" width="11.7109375" style="16" customWidth="1"/>
    <col min="7171" max="7171" width="10.28515625" style="16" customWidth="1"/>
    <col min="7172" max="7172" width="12.28515625" style="16" customWidth="1"/>
    <col min="7173" max="7173" width="8.85546875" style="16"/>
    <col min="7174" max="7174" width="10.140625" style="16" customWidth="1"/>
    <col min="7175" max="7175" width="8.85546875" style="16"/>
    <col min="7176" max="7176" width="9.7109375" style="16" bestFit="1" customWidth="1"/>
    <col min="7177" max="7424" width="8.85546875" style="16"/>
    <col min="7425" max="7425" width="12.85546875" style="16" bestFit="1" customWidth="1"/>
    <col min="7426" max="7426" width="11.7109375" style="16" customWidth="1"/>
    <col min="7427" max="7427" width="10.28515625" style="16" customWidth="1"/>
    <col min="7428" max="7428" width="12.28515625" style="16" customWidth="1"/>
    <col min="7429" max="7429" width="8.85546875" style="16"/>
    <col min="7430" max="7430" width="10.140625" style="16" customWidth="1"/>
    <col min="7431" max="7431" width="8.85546875" style="16"/>
    <col min="7432" max="7432" width="9.7109375" style="16" bestFit="1" customWidth="1"/>
    <col min="7433" max="7680" width="8.85546875" style="16"/>
    <col min="7681" max="7681" width="12.85546875" style="16" bestFit="1" customWidth="1"/>
    <col min="7682" max="7682" width="11.7109375" style="16" customWidth="1"/>
    <col min="7683" max="7683" width="10.28515625" style="16" customWidth="1"/>
    <col min="7684" max="7684" width="12.28515625" style="16" customWidth="1"/>
    <col min="7685" max="7685" width="8.85546875" style="16"/>
    <col min="7686" max="7686" width="10.140625" style="16" customWidth="1"/>
    <col min="7687" max="7687" width="8.85546875" style="16"/>
    <col min="7688" max="7688" width="9.7109375" style="16" bestFit="1" customWidth="1"/>
    <col min="7689" max="7936" width="8.85546875" style="16"/>
    <col min="7937" max="7937" width="12.85546875" style="16" bestFit="1" customWidth="1"/>
    <col min="7938" max="7938" width="11.7109375" style="16" customWidth="1"/>
    <col min="7939" max="7939" width="10.28515625" style="16" customWidth="1"/>
    <col min="7940" max="7940" width="12.28515625" style="16" customWidth="1"/>
    <col min="7941" max="7941" width="8.85546875" style="16"/>
    <col min="7942" max="7942" width="10.140625" style="16" customWidth="1"/>
    <col min="7943" max="7943" width="8.85546875" style="16"/>
    <col min="7944" max="7944" width="9.7109375" style="16" bestFit="1" customWidth="1"/>
    <col min="7945" max="8192" width="8.85546875" style="16"/>
    <col min="8193" max="8193" width="12.85546875" style="16" bestFit="1" customWidth="1"/>
    <col min="8194" max="8194" width="11.7109375" style="16" customWidth="1"/>
    <col min="8195" max="8195" width="10.28515625" style="16" customWidth="1"/>
    <col min="8196" max="8196" width="12.28515625" style="16" customWidth="1"/>
    <col min="8197" max="8197" width="8.85546875" style="16"/>
    <col min="8198" max="8198" width="10.140625" style="16" customWidth="1"/>
    <col min="8199" max="8199" width="8.85546875" style="16"/>
    <col min="8200" max="8200" width="9.7109375" style="16" bestFit="1" customWidth="1"/>
    <col min="8201" max="8448" width="8.85546875" style="16"/>
    <col min="8449" max="8449" width="12.85546875" style="16" bestFit="1" customWidth="1"/>
    <col min="8450" max="8450" width="11.7109375" style="16" customWidth="1"/>
    <col min="8451" max="8451" width="10.28515625" style="16" customWidth="1"/>
    <col min="8452" max="8452" width="12.28515625" style="16" customWidth="1"/>
    <col min="8453" max="8453" width="8.85546875" style="16"/>
    <col min="8454" max="8454" width="10.140625" style="16" customWidth="1"/>
    <col min="8455" max="8455" width="8.85546875" style="16"/>
    <col min="8456" max="8456" width="9.7109375" style="16" bestFit="1" customWidth="1"/>
    <col min="8457" max="8704" width="8.85546875" style="16"/>
    <col min="8705" max="8705" width="12.85546875" style="16" bestFit="1" customWidth="1"/>
    <col min="8706" max="8706" width="11.7109375" style="16" customWidth="1"/>
    <col min="8707" max="8707" width="10.28515625" style="16" customWidth="1"/>
    <col min="8708" max="8708" width="12.28515625" style="16" customWidth="1"/>
    <col min="8709" max="8709" width="8.85546875" style="16"/>
    <col min="8710" max="8710" width="10.140625" style="16" customWidth="1"/>
    <col min="8711" max="8711" width="8.85546875" style="16"/>
    <col min="8712" max="8712" width="9.7109375" style="16" bestFit="1" customWidth="1"/>
    <col min="8713" max="8960" width="8.85546875" style="16"/>
    <col min="8961" max="8961" width="12.85546875" style="16" bestFit="1" customWidth="1"/>
    <col min="8962" max="8962" width="11.7109375" style="16" customWidth="1"/>
    <col min="8963" max="8963" width="10.28515625" style="16" customWidth="1"/>
    <col min="8964" max="8964" width="12.28515625" style="16" customWidth="1"/>
    <col min="8965" max="8965" width="8.85546875" style="16"/>
    <col min="8966" max="8966" width="10.140625" style="16" customWidth="1"/>
    <col min="8967" max="8967" width="8.85546875" style="16"/>
    <col min="8968" max="8968" width="9.7109375" style="16" bestFit="1" customWidth="1"/>
    <col min="8969" max="9216" width="8.85546875" style="16"/>
    <col min="9217" max="9217" width="12.85546875" style="16" bestFit="1" customWidth="1"/>
    <col min="9218" max="9218" width="11.7109375" style="16" customWidth="1"/>
    <col min="9219" max="9219" width="10.28515625" style="16" customWidth="1"/>
    <col min="9220" max="9220" width="12.28515625" style="16" customWidth="1"/>
    <col min="9221" max="9221" width="8.85546875" style="16"/>
    <col min="9222" max="9222" width="10.140625" style="16" customWidth="1"/>
    <col min="9223" max="9223" width="8.85546875" style="16"/>
    <col min="9224" max="9224" width="9.7109375" style="16" bestFit="1" customWidth="1"/>
    <col min="9225" max="9472" width="8.85546875" style="16"/>
    <col min="9473" max="9473" width="12.85546875" style="16" bestFit="1" customWidth="1"/>
    <col min="9474" max="9474" width="11.7109375" style="16" customWidth="1"/>
    <col min="9475" max="9475" width="10.28515625" style="16" customWidth="1"/>
    <col min="9476" max="9476" width="12.28515625" style="16" customWidth="1"/>
    <col min="9477" max="9477" width="8.85546875" style="16"/>
    <col min="9478" max="9478" width="10.140625" style="16" customWidth="1"/>
    <col min="9479" max="9479" width="8.85546875" style="16"/>
    <col min="9480" max="9480" width="9.7109375" style="16" bestFit="1" customWidth="1"/>
    <col min="9481" max="9728" width="8.85546875" style="16"/>
    <col min="9729" max="9729" width="12.85546875" style="16" bestFit="1" customWidth="1"/>
    <col min="9730" max="9730" width="11.7109375" style="16" customWidth="1"/>
    <col min="9731" max="9731" width="10.28515625" style="16" customWidth="1"/>
    <col min="9732" max="9732" width="12.28515625" style="16" customWidth="1"/>
    <col min="9733" max="9733" width="8.85546875" style="16"/>
    <col min="9734" max="9734" width="10.140625" style="16" customWidth="1"/>
    <col min="9735" max="9735" width="8.85546875" style="16"/>
    <col min="9736" max="9736" width="9.7109375" style="16" bestFit="1" customWidth="1"/>
    <col min="9737" max="9984" width="8.85546875" style="16"/>
    <col min="9985" max="9985" width="12.85546875" style="16" bestFit="1" customWidth="1"/>
    <col min="9986" max="9986" width="11.7109375" style="16" customWidth="1"/>
    <col min="9987" max="9987" width="10.28515625" style="16" customWidth="1"/>
    <col min="9988" max="9988" width="12.28515625" style="16" customWidth="1"/>
    <col min="9989" max="9989" width="8.85546875" style="16"/>
    <col min="9990" max="9990" width="10.140625" style="16" customWidth="1"/>
    <col min="9991" max="9991" width="8.85546875" style="16"/>
    <col min="9992" max="9992" width="9.7109375" style="16" bestFit="1" customWidth="1"/>
    <col min="9993" max="10240" width="8.85546875" style="16"/>
    <col min="10241" max="10241" width="12.85546875" style="16" bestFit="1" customWidth="1"/>
    <col min="10242" max="10242" width="11.7109375" style="16" customWidth="1"/>
    <col min="10243" max="10243" width="10.28515625" style="16" customWidth="1"/>
    <col min="10244" max="10244" width="12.28515625" style="16" customWidth="1"/>
    <col min="10245" max="10245" width="8.85546875" style="16"/>
    <col min="10246" max="10246" width="10.140625" style="16" customWidth="1"/>
    <col min="10247" max="10247" width="8.85546875" style="16"/>
    <col min="10248" max="10248" width="9.7109375" style="16" bestFit="1" customWidth="1"/>
    <col min="10249" max="10496" width="8.85546875" style="16"/>
    <col min="10497" max="10497" width="12.85546875" style="16" bestFit="1" customWidth="1"/>
    <col min="10498" max="10498" width="11.7109375" style="16" customWidth="1"/>
    <col min="10499" max="10499" width="10.28515625" style="16" customWidth="1"/>
    <col min="10500" max="10500" width="12.28515625" style="16" customWidth="1"/>
    <col min="10501" max="10501" width="8.85546875" style="16"/>
    <col min="10502" max="10502" width="10.140625" style="16" customWidth="1"/>
    <col min="10503" max="10503" width="8.85546875" style="16"/>
    <col min="10504" max="10504" width="9.7109375" style="16" bestFit="1" customWidth="1"/>
    <col min="10505" max="10752" width="8.85546875" style="16"/>
    <col min="10753" max="10753" width="12.85546875" style="16" bestFit="1" customWidth="1"/>
    <col min="10754" max="10754" width="11.7109375" style="16" customWidth="1"/>
    <col min="10755" max="10755" width="10.28515625" style="16" customWidth="1"/>
    <col min="10756" max="10756" width="12.28515625" style="16" customWidth="1"/>
    <col min="10757" max="10757" width="8.85546875" style="16"/>
    <col min="10758" max="10758" width="10.140625" style="16" customWidth="1"/>
    <col min="10759" max="10759" width="8.85546875" style="16"/>
    <col min="10760" max="10760" width="9.7109375" style="16" bestFit="1" customWidth="1"/>
    <col min="10761" max="11008" width="8.85546875" style="16"/>
    <col min="11009" max="11009" width="12.85546875" style="16" bestFit="1" customWidth="1"/>
    <col min="11010" max="11010" width="11.7109375" style="16" customWidth="1"/>
    <col min="11011" max="11011" width="10.28515625" style="16" customWidth="1"/>
    <col min="11012" max="11012" width="12.28515625" style="16" customWidth="1"/>
    <col min="11013" max="11013" width="8.85546875" style="16"/>
    <col min="11014" max="11014" width="10.140625" style="16" customWidth="1"/>
    <col min="11015" max="11015" width="8.85546875" style="16"/>
    <col min="11016" max="11016" width="9.7109375" style="16" bestFit="1" customWidth="1"/>
    <col min="11017" max="11264" width="8.85546875" style="16"/>
    <col min="11265" max="11265" width="12.85546875" style="16" bestFit="1" customWidth="1"/>
    <col min="11266" max="11266" width="11.7109375" style="16" customWidth="1"/>
    <col min="11267" max="11267" width="10.28515625" style="16" customWidth="1"/>
    <col min="11268" max="11268" width="12.28515625" style="16" customWidth="1"/>
    <col min="11269" max="11269" width="8.85546875" style="16"/>
    <col min="11270" max="11270" width="10.140625" style="16" customWidth="1"/>
    <col min="11271" max="11271" width="8.85546875" style="16"/>
    <col min="11272" max="11272" width="9.7109375" style="16" bestFit="1" customWidth="1"/>
    <col min="11273" max="11520" width="8.85546875" style="16"/>
    <col min="11521" max="11521" width="12.85546875" style="16" bestFit="1" customWidth="1"/>
    <col min="11522" max="11522" width="11.7109375" style="16" customWidth="1"/>
    <col min="11523" max="11523" width="10.28515625" style="16" customWidth="1"/>
    <col min="11524" max="11524" width="12.28515625" style="16" customWidth="1"/>
    <col min="11525" max="11525" width="8.85546875" style="16"/>
    <col min="11526" max="11526" width="10.140625" style="16" customWidth="1"/>
    <col min="11527" max="11527" width="8.85546875" style="16"/>
    <col min="11528" max="11528" width="9.7109375" style="16" bestFit="1" customWidth="1"/>
    <col min="11529" max="11776" width="8.85546875" style="16"/>
    <col min="11777" max="11777" width="12.85546875" style="16" bestFit="1" customWidth="1"/>
    <col min="11778" max="11778" width="11.7109375" style="16" customWidth="1"/>
    <col min="11779" max="11779" width="10.28515625" style="16" customWidth="1"/>
    <col min="11780" max="11780" width="12.28515625" style="16" customWidth="1"/>
    <col min="11781" max="11781" width="8.85546875" style="16"/>
    <col min="11782" max="11782" width="10.140625" style="16" customWidth="1"/>
    <col min="11783" max="11783" width="8.85546875" style="16"/>
    <col min="11784" max="11784" width="9.7109375" style="16" bestFit="1" customWidth="1"/>
    <col min="11785" max="12032" width="8.85546875" style="16"/>
    <col min="12033" max="12033" width="12.85546875" style="16" bestFit="1" customWidth="1"/>
    <col min="12034" max="12034" width="11.7109375" style="16" customWidth="1"/>
    <col min="12035" max="12035" width="10.28515625" style="16" customWidth="1"/>
    <col min="12036" max="12036" width="12.28515625" style="16" customWidth="1"/>
    <col min="12037" max="12037" width="8.85546875" style="16"/>
    <col min="12038" max="12038" width="10.140625" style="16" customWidth="1"/>
    <col min="12039" max="12039" width="8.85546875" style="16"/>
    <col min="12040" max="12040" width="9.7109375" style="16" bestFit="1" customWidth="1"/>
    <col min="12041" max="12288" width="8.85546875" style="16"/>
    <col min="12289" max="12289" width="12.85546875" style="16" bestFit="1" customWidth="1"/>
    <col min="12290" max="12290" width="11.7109375" style="16" customWidth="1"/>
    <col min="12291" max="12291" width="10.28515625" style="16" customWidth="1"/>
    <col min="12292" max="12292" width="12.28515625" style="16" customWidth="1"/>
    <col min="12293" max="12293" width="8.85546875" style="16"/>
    <col min="12294" max="12294" width="10.140625" style="16" customWidth="1"/>
    <col min="12295" max="12295" width="8.85546875" style="16"/>
    <col min="12296" max="12296" width="9.7109375" style="16" bestFit="1" customWidth="1"/>
    <col min="12297" max="12544" width="8.85546875" style="16"/>
    <col min="12545" max="12545" width="12.85546875" style="16" bestFit="1" customWidth="1"/>
    <col min="12546" max="12546" width="11.7109375" style="16" customWidth="1"/>
    <col min="12547" max="12547" width="10.28515625" style="16" customWidth="1"/>
    <col min="12548" max="12548" width="12.28515625" style="16" customWidth="1"/>
    <col min="12549" max="12549" width="8.85546875" style="16"/>
    <col min="12550" max="12550" width="10.140625" style="16" customWidth="1"/>
    <col min="12551" max="12551" width="8.85546875" style="16"/>
    <col min="12552" max="12552" width="9.7109375" style="16" bestFit="1" customWidth="1"/>
    <col min="12553" max="12800" width="8.85546875" style="16"/>
    <col min="12801" max="12801" width="12.85546875" style="16" bestFit="1" customWidth="1"/>
    <col min="12802" max="12802" width="11.7109375" style="16" customWidth="1"/>
    <col min="12803" max="12803" width="10.28515625" style="16" customWidth="1"/>
    <col min="12804" max="12804" width="12.28515625" style="16" customWidth="1"/>
    <col min="12805" max="12805" width="8.85546875" style="16"/>
    <col min="12806" max="12806" width="10.140625" style="16" customWidth="1"/>
    <col min="12807" max="12807" width="8.85546875" style="16"/>
    <col min="12808" max="12808" width="9.7109375" style="16" bestFit="1" customWidth="1"/>
    <col min="12809" max="13056" width="8.85546875" style="16"/>
    <col min="13057" max="13057" width="12.85546875" style="16" bestFit="1" customWidth="1"/>
    <col min="13058" max="13058" width="11.7109375" style="16" customWidth="1"/>
    <col min="13059" max="13059" width="10.28515625" style="16" customWidth="1"/>
    <col min="13060" max="13060" width="12.28515625" style="16" customWidth="1"/>
    <col min="13061" max="13061" width="8.85546875" style="16"/>
    <col min="13062" max="13062" width="10.140625" style="16" customWidth="1"/>
    <col min="13063" max="13063" width="8.85546875" style="16"/>
    <col min="13064" max="13064" width="9.7109375" style="16" bestFit="1" customWidth="1"/>
    <col min="13065" max="13312" width="8.85546875" style="16"/>
    <col min="13313" max="13313" width="12.85546875" style="16" bestFit="1" customWidth="1"/>
    <col min="13314" max="13314" width="11.7109375" style="16" customWidth="1"/>
    <col min="13315" max="13315" width="10.28515625" style="16" customWidth="1"/>
    <col min="13316" max="13316" width="12.28515625" style="16" customWidth="1"/>
    <col min="13317" max="13317" width="8.85546875" style="16"/>
    <col min="13318" max="13318" width="10.140625" style="16" customWidth="1"/>
    <col min="13319" max="13319" width="8.85546875" style="16"/>
    <col min="13320" max="13320" width="9.7109375" style="16" bestFit="1" customWidth="1"/>
    <col min="13321" max="13568" width="8.85546875" style="16"/>
    <col min="13569" max="13569" width="12.85546875" style="16" bestFit="1" customWidth="1"/>
    <col min="13570" max="13570" width="11.7109375" style="16" customWidth="1"/>
    <col min="13571" max="13571" width="10.28515625" style="16" customWidth="1"/>
    <col min="13572" max="13572" width="12.28515625" style="16" customWidth="1"/>
    <col min="13573" max="13573" width="8.85546875" style="16"/>
    <col min="13574" max="13574" width="10.140625" style="16" customWidth="1"/>
    <col min="13575" max="13575" width="8.85546875" style="16"/>
    <col min="13576" max="13576" width="9.7109375" style="16" bestFit="1" customWidth="1"/>
    <col min="13577" max="13824" width="8.85546875" style="16"/>
    <col min="13825" max="13825" width="12.85546875" style="16" bestFit="1" customWidth="1"/>
    <col min="13826" max="13826" width="11.7109375" style="16" customWidth="1"/>
    <col min="13827" max="13827" width="10.28515625" style="16" customWidth="1"/>
    <col min="13828" max="13828" width="12.28515625" style="16" customWidth="1"/>
    <col min="13829" max="13829" width="8.85546875" style="16"/>
    <col min="13830" max="13830" width="10.140625" style="16" customWidth="1"/>
    <col min="13831" max="13831" width="8.85546875" style="16"/>
    <col min="13832" max="13832" width="9.7109375" style="16" bestFit="1" customWidth="1"/>
    <col min="13833" max="14080" width="8.85546875" style="16"/>
    <col min="14081" max="14081" width="12.85546875" style="16" bestFit="1" customWidth="1"/>
    <col min="14082" max="14082" width="11.7109375" style="16" customWidth="1"/>
    <col min="14083" max="14083" width="10.28515625" style="16" customWidth="1"/>
    <col min="14084" max="14084" width="12.28515625" style="16" customWidth="1"/>
    <col min="14085" max="14085" width="8.85546875" style="16"/>
    <col min="14086" max="14086" width="10.140625" style="16" customWidth="1"/>
    <col min="14087" max="14087" width="8.85546875" style="16"/>
    <col min="14088" max="14088" width="9.7109375" style="16" bestFit="1" customWidth="1"/>
    <col min="14089" max="14336" width="8.85546875" style="16"/>
    <col min="14337" max="14337" width="12.85546875" style="16" bestFit="1" customWidth="1"/>
    <col min="14338" max="14338" width="11.7109375" style="16" customWidth="1"/>
    <col min="14339" max="14339" width="10.28515625" style="16" customWidth="1"/>
    <col min="14340" max="14340" width="12.28515625" style="16" customWidth="1"/>
    <col min="14341" max="14341" width="8.85546875" style="16"/>
    <col min="14342" max="14342" width="10.140625" style="16" customWidth="1"/>
    <col min="14343" max="14343" width="8.85546875" style="16"/>
    <col min="14344" max="14344" width="9.7109375" style="16" bestFit="1" customWidth="1"/>
    <col min="14345" max="14592" width="8.85546875" style="16"/>
    <col min="14593" max="14593" width="12.85546875" style="16" bestFit="1" customWidth="1"/>
    <col min="14594" max="14594" width="11.7109375" style="16" customWidth="1"/>
    <col min="14595" max="14595" width="10.28515625" style="16" customWidth="1"/>
    <col min="14596" max="14596" width="12.28515625" style="16" customWidth="1"/>
    <col min="14597" max="14597" width="8.85546875" style="16"/>
    <col min="14598" max="14598" width="10.140625" style="16" customWidth="1"/>
    <col min="14599" max="14599" width="8.85546875" style="16"/>
    <col min="14600" max="14600" width="9.7109375" style="16" bestFit="1" customWidth="1"/>
    <col min="14601" max="14848" width="8.85546875" style="16"/>
    <col min="14849" max="14849" width="12.85546875" style="16" bestFit="1" customWidth="1"/>
    <col min="14850" max="14850" width="11.7109375" style="16" customWidth="1"/>
    <col min="14851" max="14851" width="10.28515625" style="16" customWidth="1"/>
    <col min="14852" max="14852" width="12.28515625" style="16" customWidth="1"/>
    <col min="14853" max="14853" width="8.85546875" style="16"/>
    <col min="14854" max="14854" width="10.140625" style="16" customWidth="1"/>
    <col min="14855" max="14855" width="8.85546875" style="16"/>
    <col min="14856" max="14856" width="9.7109375" style="16" bestFit="1" customWidth="1"/>
    <col min="14857" max="15104" width="8.85546875" style="16"/>
    <col min="15105" max="15105" width="12.85546875" style="16" bestFit="1" customWidth="1"/>
    <col min="15106" max="15106" width="11.7109375" style="16" customWidth="1"/>
    <col min="15107" max="15107" width="10.28515625" style="16" customWidth="1"/>
    <col min="15108" max="15108" width="12.28515625" style="16" customWidth="1"/>
    <col min="15109" max="15109" width="8.85546875" style="16"/>
    <col min="15110" max="15110" width="10.140625" style="16" customWidth="1"/>
    <col min="15111" max="15111" width="8.85546875" style="16"/>
    <col min="15112" max="15112" width="9.7109375" style="16" bestFit="1" customWidth="1"/>
    <col min="15113" max="15360" width="8.85546875" style="16"/>
    <col min="15361" max="15361" width="12.85546875" style="16" bestFit="1" customWidth="1"/>
    <col min="15362" max="15362" width="11.7109375" style="16" customWidth="1"/>
    <col min="15363" max="15363" width="10.28515625" style="16" customWidth="1"/>
    <col min="15364" max="15364" width="12.28515625" style="16" customWidth="1"/>
    <col min="15365" max="15365" width="8.85546875" style="16"/>
    <col min="15366" max="15366" width="10.140625" style="16" customWidth="1"/>
    <col min="15367" max="15367" width="8.85546875" style="16"/>
    <col min="15368" max="15368" width="9.7109375" style="16" bestFit="1" customWidth="1"/>
    <col min="15369" max="15616" width="8.85546875" style="16"/>
    <col min="15617" max="15617" width="12.85546875" style="16" bestFit="1" customWidth="1"/>
    <col min="15618" max="15618" width="11.7109375" style="16" customWidth="1"/>
    <col min="15619" max="15619" width="10.28515625" style="16" customWidth="1"/>
    <col min="15620" max="15620" width="12.28515625" style="16" customWidth="1"/>
    <col min="15621" max="15621" width="8.85546875" style="16"/>
    <col min="15622" max="15622" width="10.140625" style="16" customWidth="1"/>
    <col min="15623" max="15623" width="8.85546875" style="16"/>
    <col min="15624" max="15624" width="9.7109375" style="16" bestFit="1" customWidth="1"/>
    <col min="15625" max="15872" width="8.85546875" style="16"/>
    <col min="15873" max="15873" width="12.85546875" style="16" bestFit="1" customWidth="1"/>
    <col min="15874" max="15874" width="11.7109375" style="16" customWidth="1"/>
    <col min="15875" max="15875" width="10.28515625" style="16" customWidth="1"/>
    <col min="15876" max="15876" width="12.28515625" style="16" customWidth="1"/>
    <col min="15877" max="15877" width="8.85546875" style="16"/>
    <col min="15878" max="15878" width="10.140625" style="16" customWidth="1"/>
    <col min="15879" max="15879" width="8.85546875" style="16"/>
    <col min="15880" max="15880" width="9.7109375" style="16" bestFit="1" customWidth="1"/>
    <col min="15881" max="16128" width="8.85546875" style="16"/>
    <col min="16129" max="16129" width="12.85546875" style="16" bestFit="1" customWidth="1"/>
    <col min="16130" max="16130" width="11.7109375" style="16" customWidth="1"/>
    <col min="16131" max="16131" width="10.28515625" style="16" customWidth="1"/>
    <col min="16132" max="16132" width="12.28515625" style="16" customWidth="1"/>
    <col min="16133" max="16133" width="8.85546875" style="16"/>
    <col min="16134" max="16134" width="10.140625" style="16" customWidth="1"/>
    <col min="16135" max="16135" width="8.85546875" style="16"/>
    <col min="16136" max="16136" width="9.7109375" style="16" bestFit="1" customWidth="1"/>
    <col min="16137" max="16384" width="8.85546875" style="16"/>
  </cols>
  <sheetData>
    <row r="1" spans="1:12" ht="18.75" x14ac:dyDescent="0.3">
      <c r="A1" s="44" t="s">
        <v>84</v>
      </c>
      <c r="B1" s="44"/>
      <c r="C1" s="44"/>
      <c r="D1" s="44"/>
      <c r="E1" s="44"/>
      <c r="F1" s="44"/>
    </row>
    <row r="3" spans="1:12" ht="74.25" customHeight="1" x14ac:dyDescent="0.3">
      <c r="A3" s="17" t="s">
        <v>86</v>
      </c>
      <c r="B3" s="17" t="s">
        <v>74</v>
      </c>
      <c r="C3" s="17" t="s">
        <v>87</v>
      </c>
      <c r="D3" s="17" t="s">
        <v>88</v>
      </c>
      <c r="E3" s="17" t="s">
        <v>60</v>
      </c>
      <c r="F3" s="17" t="s">
        <v>89</v>
      </c>
      <c r="H3" s="27" t="s">
        <v>123</v>
      </c>
      <c r="I3" s="44" t="s">
        <v>85</v>
      </c>
      <c r="J3" s="44"/>
      <c r="K3" s="44"/>
      <c r="L3" s="44"/>
    </row>
    <row r="4" spans="1:12" ht="15" x14ac:dyDescent="0.25">
      <c r="A4" s="1"/>
      <c r="B4" s="19"/>
      <c r="C4" s="1"/>
      <c r="D4" s="1"/>
      <c r="E4" s="1"/>
      <c r="F4" s="1"/>
    </row>
    <row r="5" spans="1:12" ht="15" x14ac:dyDescent="0.25">
      <c r="A5" s="1"/>
      <c r="B5" s="1"/>
      <c r="C5" s="1"/>
      <c r="D5" s="1"/>
      <c r="E5" s="1"/>
      <c r="F5" s="1"/>
      <c r="I5" s="18" t="s">
        <v>6</v>
      </c>
      <c r="J5" s="18" t="s">
        <v>90</v>
      </c>
      <c r="K5" s="18" t="s">
        <v>36</v>
      </c>
      <c r="L5" s="18" t="s">
        <v>1</v>
      </c>
    </row>
    <row r="6" spans="1:12" ht="15" x14ac:dyDescent="0.25">
      <c r="A6" s="1"/>
      <c r="B6" s="1"/>
      <c r="C6" s="1"/>
      <c r="D6" s="1"/>
      <c r="E6" s="1"/>
      <c r="F6" s="1"/>
      <c r="I6" s="20" t="s">
        <v>91</v>
      </c>
      <c r="J6" s="21" t="s">
        <v>92</v>
      </c>
      <c r="K6" s="21" t="s">
        <v>93</v>
      </c>
      <c r="L6" s="21" t="s">
        <v>94</v>
      </c>
    </row>
    <row r="7" spans="1:12" ht="15" x14ac:dyDescent="0.25">
      <c r="A7" s="1"/>
      <c r="B7" s="1"/>
      <c r="C7" s="1"/>
      <c r="D7" s="1"/>
      <c r="E7" s="1"/>
      <c r="F7" s="1"/>
      <c r="I7" s="22" t="s">
        <v>95</v>
      </c>
      <c r="J7" s="23" t="s">
        <v>96</v>
      </c>
      <c r="K7" s="23" t="s">
        <v>97</v>
      </c>
      <c r="L7" s="23" t="s">
        <v>98</v>
      </c>
    </row>
    <row r="8" spans="1:12" ht="15" x14ac:dyDescent="0.25">
      <c r="A8" s="1"/>
      <c r="B8" s="1"/>
      <c r="C8" s="1"/>
      <c r="D8" s="1"/>
      <c r="E8" s="1"/>
      <c r="F8" s="1"/>
      <c r="I8" s="22" t="s">
        <v>99</v>
      </c>
      <c r="J8" s="23" t="s">
        <v>100</v>
      </c>
      <c r="K8" s="23" t="s">
        <v>101</v>
      </c>
      <c r="L8" s="23" t="s">
        <v>102</v>
      </c>
    </row>
    <row r="9" spans="1:12" ht="15" x14ac:dyDescent="0.25">
      <c r="A9" s="1"/>
      <c r="B9" s="1"/>
      <c r="C9" s="1"/>
      <c r="D9" s="1"/>
      <c r="E9" s="1"/>
      <c r="F9" s="1"/>
      <c r="I9" s="22" t="s">
        <v>103</v>
      </c>
      <c r="J9" s="23" t="s">
        <v>104</v>
      </c>
      <c r="K9" s="23" t="s">
        <v>105</v>
      </c>
      <c r="L9" s="23" t="s">
        <v>106</v>
      </c>
    </row>
    <row r="10" spans="1:12" ht="15" x14ac:dyDescent="0.25">
      <c r="A10" s="1"/>
      <c r="B10" s="1"/>
      <c r="C10" s="1"/>
      <c r="D10" s="1"/>
      <c r="E10" s="1"/>
      <c r="F10" s="1"/>
      <c r="I10" s="22" t="s">
        <v>107</v>
      </c>
      <c r="J10" s="23" t="s">
        <v>108</v>
      </c>
      <c r="K10" s="23" t="s">
        <v>109</v>
      </c>
      <c r="L10" s="23" t="s">
        <v>110</v>
      </c>
    </row>
    <row r="11" spans="1:12" ht="15" x14ac:dyDescent="0.25">
      <c r="A11" s="1"/>
      <c r="B11" s="1"/>
      <c r="C11" s="1"/>
      <c r="D11" s="1"/>
      <c r="E11" s="1"/>
      <c r="F11" s="1"/>
      <c r="I11" s="24" t="s">
        <v>111</v>
      </c>
      <c r="J11" s="25" t="s">
        <v>112</v>
      </c>
      <c r="K11" s="25" t="s">
        <v>113</v>
      </c>
      <c r="L11" s="25" t="s">
        <v>114</v>
      </c>
    </row>
    <row r="12" spans="1:12" ht="15" x14ac:dyDescent="0.25">
      <c r="A12" s="1"/>
      <c r="B12" s="1"/>
      <c r="C12" s="1"/>
      <c r="D12" s="1"/>
      <c r="E12" s="1"/>
      <c r="F12" s="1"/>
    </row>
    <row r="13" spans="1:12" ht="15" x14ac:dyDescent="0.25">
      <c r="A13" s="1"/>
      <c r="B13" s="1"/>
      <c r="C13" s="1"/>
      <c r="D13" s="1"/>
      <c r="E13" s="1"/>
      <c r="F13" s="1"/>
      <c r="J13" s="16" t="s">
        <v>115</v>
      </c>
    </row>
    <row r="15" spans="1:12" x14ac:dyDescent="0.2">
      <c r="A15" s="16" t="s">
        <v>116</v>
      </c>
      <c r="H15" s="26"/>
    </row>
    <row r="16" spans="1:12" x14ac:dyDescent="0.2">
      <c r="A16" s="16" t="s">
        <v>117</v>
      </c>
      <c r="H16" s="26"/>
    </row>
    <row r="17" spans="1:8" x14ac:dyDescent="0.2">
      <c r="A17" s="16" t="s">
        <v>118</v>
      </c>
      <c r="H17" s="26"/>
    </row>
    <row r="18" spans="1:8" x14ac:dyDescent="0.2">
      <c r="A18" s="16" t="s">
        <v>119</v>
      </c>
      <c r="H18" s="26"/>
    </row>
    <row r="19" spans="1:8" x14ac:dyDescent="0.2">
      <c r="A19" s="16" t="s">
        <v>120</v>
      </c>
      <c r="H19" s="26"/>
    </row>
    <row r="20" spans="1:8" x14ac:dyDescent="0.2">
      <c r="A20" s="16" t="s">
        <v>121</v>
      </c>
      <c r="H20" s="26"/>
    </row>
    <row r="21" spans="1:8" x14ac:dyDescent="0.2">
      <c r="H21" s="26"/>
    </row>
    <row r="22" spans="1:8" x14ac:dyDescent="0.2">
      <c r="H22" s="26"/>
    </row>
    <row r="23" spans="1:8" x14ac:dyDescent="0.2">
      <c r="H23" s="26"/>
    </row>
    <row r="24" spans="1:8" x14ac:dyDescent="0.2">
      <c r="H24" s="26"/>
    </row>
    <row r="25" spans="1:8" x14ac:dyDescent="0.2">
      <c r="H25" s="26"/>
    </row>
    <row r="26" spans="1:8" x14ac:dyDescent="0.2">
      <c r="H26" s="26"/>
    </row>
    <row r="27" spans="1:8" x14ac:dyDescent="0.2">
      <c r="H27" s="26"/>
    </row>
  </sheetData>
  <mergeCells count="2">
    <mergeCell ref="A1:F1"/>
    <mergeCell ref="I3:L3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Arithmatic Functions</vt:lpstr>
      <vt:lpstr>IF AND OR nested</vt:lpstr>
      <vt:lpstr>Text functions</vt:lpstr>
      <vt:lpstr>Date</vt:lpstr>
      <vt:lpstr>DataValidation</vt:lpstr>
      <vt:lpstr>'IF AND OR nested'!Basic_Salary</vt:lpstr>
      <vt:lpstr>Basic_Salary</vt:lpstr>
      <vt:lpstr>'IF AND OR nested'!Birthdate</vt:lpstr>
      <vt:lpstr>Birthdate</vt:lpstr>
      <vt:lpstr>'IF AND OR nested'!C_Code</vt:lpstr>
      <vt:lpstr>C_Code</vt:lpstr>
      <vt:lpstr>'IF AND OR nested'!Department</vt:lpstr>
      <vt:lpstr>Department</vt:lpstr>
      <vt:lpstr>'IF AND OR nested'!FirstName</vt:lpstr>
      <vt:lpstr>FirstName</vt:lpstr>
      <vt:lpstr>'IF AND OR nested'!Gender</vt:lpstr>
      <vt:lpstr>Gender</vt:lpstr>
      <vt:lpstr>'IF AND OR nested'!LastName</vt:lpstr>
      <vt:lpstr>LastName</vt:lpstr>
      <vt:lpstr>'IF AND OR nested'!M_Status</vt:lpstr>
      <vt:lpstr>M_Status</vt:lpstr>
      <vt:lpstr>'IF AND OR nested'!Region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Lokesh Ahire</cp:lastModifiedBy>
  <dcterms:created xsi:type="dcterms:W3CDTF">2022-07-28T07:22:53Z</dcterms:created>
  <dcterms:modified xsi:type="dcterms:W3CDTF">2026-09-12T15:28:57Z</dcterms:modified>
</cp:coreProperties>
</file>