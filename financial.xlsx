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FE407C06-7C32-4A68-83E7-5008573FE6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stion" sheetId="1" r:id="rId1"/>
    <sheet name="Challange" sheetId="3" r:id="rId2"/>
    <sheet name="Thank yo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3" l="1"/>
  <c r="M54" i="3"/>
  <c r="M51" i="3"/>
  <c r="N7" i="3" l="1"/>
  <c r="N8" i="3" s="1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22" i="3"/>
  <c r="O21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22" i="3"/>
  <c r="N21" i="3"/>
  <c r="N14" i="3"/>
  <c r="Q21" i="3" l="1"/>
  <c r="R21" i="3"/>
  <c r="N18" i="3"/>
  <c r="M46" i="3" s="1"/>
  <c r="M47" i="3" l="1"/>
  <c r="M49" i="3"/>
</calcChain>
</file>

<file path=xl/sharedStrings.xml><?xml version="1.0" encoding="utf-8"?>
<sst xmlns="http://schemas.openxmlformats.org/spreadsheetml/2006/main" count="43" uniqueCount="40">
  <si>
    <t>Thank you!...</t>
  </si>
  <si>
    <t>… for doing these assignments. It's a pretty big deal, actually.</t>
  </si>
  <si>
    <t>Because you've practiced, you'll remember your new skills</t>
  </si>
  <si>
    <t>much better.</t>
  </si>
  <si>
    <t>Did you like these assignments?</t>
  </si>
  <si>
    <t xml:space="preserve">YES </t>
  </si>
  <si>
    <t>NO</t>
  </si>
  <si>
    <t xml:space="preserve">If you have any query regarding this assignment, kindly give your valuable feedback / suggestion to your concerned me. </t>
  </si>
  <si>
    <t>You'll learn more critical functions, Pivot Tables, Macros</t>
  </si>
  <si>
    <t>and even VBA programming.</t>
  </si>
  <si>
    <t>Learn more about 'Zero to Hero' here.</t>
  </si>
  <si>
    <t>Best regards</t>
  </si>
  <si>
    <t>FAIZAN SHAIKH</t>
  </si>
  <si>
    <t>Microsoft office specialist excel 2016</t>
  </si>
  <si>
    <t>7021179081 / 9699304032</t>
  </si>
  <si>
    <t>PV</t>
  </si>
  <si>
    <t>EMI</t>
  </si>
  <si>
    <t>Q1</t>
  </si>
  <si>
    <t>Downpayment</t>
  </si>
  <si>
    <t xml:space="preserve">Tennur </t>
  </si>
  <si>
    <t>Rate</t>
  </si>
  <si>
    <t>Price</t>
  </si>
  <si>
    <t>Q2</t>
  </si>
  <si>
    <t>Present Value</t>
  </si>
  <si>
    <t>Tennur</t>
  </si>
  <si>
    <t>Loan</t>
  </si>
  <si>
    <t>Q3</t>
  </si>
  <si>
    <t xml:space="preserve">Principal </t>
  </si>
  <si>
    <t xml:space="preserve">EMI </t>
  </si>
  <si>
    <t>month</t>
  </si>
  <si>
    <t>Total Principal</t>
  </si>
  <si>
    <t>Total Intrest</t>
  </si>
  <si>
    <t>Q4</t>
  </si>
  <si>
    <t>1 month intrest rate</t>
  </si>
  <si>
    <t>1 year intrest rate</t>
  </si>
  <si>
    <t>Q5</t>
  </si>
  <si>
    <t>duration of loan</t>
  </si>
  <si>
    <t>Q6</t>
  </si>
  <si>
    <t>Future Value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</si>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</sst>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b/>
      <sz val="20"/>
      <color theme="1"/>
      <name val="Georgia"/>
      <family val="1"/>
    </font>
    <font>
      <b/>
      <sz val="11"/>
      <color theme="1"/>
      <name val="Georgia"/>
      <family val="1"/>
    </font>
    <font>
      <sz val="12"/>
      <color rgb="FF000000"/>
      <name val="Book Antiqua"/>
      <family val="1"/>
    </font>
    <font>
      <u/>
      <sz val="11"/>
      <color rgb="FFF6580F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28B26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8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43994</xdr:colOff>
      <xdr:row>2</xdr:row>
      <xdr:rowOff>175260</xdr:rowOff>
    </xdr:from>
    <xdr:to>
      <xdr:col>19</xdr:col>
      <xdr:colOff>71118</xdr:colOff>
      <xdr:row>31</xdr:row>
      <xdr:rowOff>14597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2AB46-8058-4EC1-BC53-CB5919F4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0000">
          <a:off x="43994" y="541020"/>
          <a:ext cx="11609524" cy="5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320040</xdr:colOff>
      <xdr:row>3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F41E4-F51D-4714-B2EC-0DD4A40D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8324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0</xdr:rowOff>
    </xdr:from>
    <xdr:to>
      <xdr:col>10</xdr:col>
      <xdr:colOff>101395</xdr:colOff>
      <xdr:row>17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8A2B9D-8969-482C-B96D-5D01B4407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1" t="22218" r="7966" b="36898"/>
        <a:stretch/>
      </xdr:blipFill>
      <xdr:spPr>
        <a:xfrm>
          <a:off x="257175" y="0"/>
          <a:ext cx="6886575" cy="3400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230431</xdr:colOff>
      <xdr:row>21</xdr:row>
      <xdr:rowOff>99849</xdr:rowOff>
    </xdr:from>
    <xdr:ext cx="1030811" cy="942527"/>
    <xdr:pic>
      <xdr:nvPicPr>
        <xdr:cNvPr id="2" name="Picture 1">
          <a:extLst>
            <a:ext uri="{FF2B5EF4-FFF2-40B4-BE49-F238E27FC236}">
              <a16:creationId xmlns:a16="http://schemas.microsoft.com/office/drawing/2014/main" id="{74C609BA-ABC9-4835-A49D-A2A610B1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451" y="4123209"/>
          <a:ext cx="1030811" cy="942527"/>
        </a:xfrm>
        <a:prstGeom prst="ellipse">
          <a:avLst/>
        </a:prstGeom>
        <a:ln>
          <a:noFill/>
        </a:ln>
        <a:effectLst/>
      </xdr:spPr>
    </xdr:pic>
    <xdr:clientData/>
  </xdr:oneCellAnchor>
  <xdr:oneCellAnchor>
    <xdr:from>
      <xdr:col>1</xdr:col>
      <xdr:colOff>499242</xdr:colOff>
      <xdr:row>0</xdr:row>
      <xdr:rowOff>173420</xdr:rowOff>
    </xdr:from>
    <xdr:ext cx="2678368" cy="551794"/>
    <xdr:pic>
      <xdr:nvPicPr>
        <xdr:cNvPr id="3" name="Picture 2">
          <a:extLst>
            <a:ext uri="{FF2B5EF4-FFF2-40B4-BE49-F238E27FC236}">
              <a16:creationId xmlns:a16="http://schemas.microsoft.com/office/drawing/2014/main" id="{7C10E5AE-1752-48FD-A8D5-90B58AA75A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2622" y="173420"/>
          <a:ext cx="2678368" cy="5517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70" zoomScaleNormal="70" workbookViewId="0">
      <selection activeCell="C8" sqref="A1:XFD1048576"/>
    </sheetView>
  </sheetViews>
  <sheetFormatPr defaultRowHeight="15" x14ac:dyDescent="0.25"/>
  <sheetData/>
  <sheetProtection password="CBEF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ABB5-B553-48F3-8AD4-ACAB2254191D}">
  <dimension ref="B2:R54"/>
  <sheetViews>
    <sheetView tabSelected="1" zoomScale="65" workbookViewId="0">
      <selection activeCell="J46" sqref="J46"/>
    </sheetView>
  </sheetViews>
  <sheetFormatPr defaultRowHeight="15" x14ac:dyDescent="0.25"/>
  <cols>
    <col min="1" max="1" width="17" bestFit="1" customWidth="1"/>
    <col min="2" max="2" width="14.140625" bestFit="1" customWidth="1"/>
    <col min="3" max="3" width="10.42578125" bestFit="1" customWidth="1"/>
    <col min="13" max="13" width="14.140625" bestFit="1" customWidth="1"/>
    <col min="14" max="14" width="11.42578125" bestFit="1" customWidth="1"/>
    <col min="15" max="15" width="14.140625" bestFit="1" customWidth="1"/>
    <col min="17" max="17" width="10.7109375" bestFit="1" customWidth="1"/>
    <col min="18" max="18" width="9.7109375" bestFit="1" customWidth="1"/>
  </cols>
  <sheetData>
    <row r="2" spans="12:16" x14ac:dyDescent="0.25">
      <c r="L2" t="s">
        <v>17</v>
      </c>
      <c r="M2" t="s">
        <v>18</v>
      </c>
      <c r="N2">
        <v>21490</v>
      </c>
    </row>
    <row r="3" spans="12:16" x14ac:dyDescent="0.25">
      <c r="M3" t="s">
        <v>16</v>
      </c>
      <c r="N3">
        <v>864</v>
      </c>
    </row>
    <row r="4" spans="12:16" x14ac:dyDescent="0.25">
      <c r="M4" t="s">
        <v>19</v>
      </c>
      <c r="N4">
        <v>3</v>
      </c>
    </row>
    <row r="5" spans="12:16" x14ac:dyDescent="0.25">
      <c r="M5" t="s">
        <v>20</v>
      </c>
      <c r="N5">
        <v>13.5</v>
      </c>
    </row>
    <row r="7" spans="12:16" x14ac:dyDescent="0.25">
      <c r="M7" t="s">
        <v>15</v>
      </c>
      <c r="N7" s="17">
        <f>PV(13.5%/12,3*12,-864)</f>
        <v>25460.223500486343</v>
      </c>
    </row>
    <row r="8" spans="12:16" x14ac:dyDescent="0.25">
      <c r="M8" t="s">
        <v>21</v>
      </c>
      <c r="N8" s="17">
        <f>N2+N7</f>
        <v>46950.223500486347</v>
      </c>
    </row>
    <row r="13" spans="12:16" x14ac:dyDescent="0.25">
      <c r="L13" t="s">
        <v>22</v>
      </c>
      <c r="M13" t="s">
        <v>23</v>
      </c>
      <c r="N13">
        <v>38790</v>
      </c>
      <c r="O13" t="s">
        <v>18</v>
      </c>
      <c r="P13">
        <v>10000</v>
      </c>
    </row>
    <row r="14" spans="12:16" x14ac:dyDescent="0.25">
      <c r="M14" t="s">
        <v>25</v>
      </c>
      <c r="N14">
        <f>N13-10000</f>
        <v>28790</v>
      </c>
    </row>
    <row r="15" spans="12:16" x14ac:dyDescent="0.25">
      <c r="M15" t="s">
        <v>24</v>
      </c>
      <c r="N15">
        <v>2</v>
      </c>
    </row>
    <row r="16" spans="12:16" x14ac:dyDescent="0.25">
      <c r="M16" t="s">
        <v>20</v>
      </c>
      <c r="N16" s="18">
        <v>0.13500000000000001</v>
      </c>
    </row>
    <row r="18" spans="2:18" x14ac:dyDescent="0.25">
      <c r="M18" t="s">
        <v>16</v>
      </c>
      <c r="N18" s="17">
        <f>PMT(N16/12,N15*12,-N14)</f>
        <v>1375.5002481199622</v>
      </c>
    </row>
    <row r="20" spans="2:18" x14ac:dyDescent="0.25">
      <c r="L20" t="s">
        <v>26</v>
      </c>
      <c r="M20" t="s">
        <v>29</v>
      </c>
      <c r="N20" t="s">
        <v>27</v>
      </c>
      <c r="O20" t="s">
        <v>28</v>
      </c>
      <c r="Q20" t="s">
        <v>30</v>
      </c>
      <c r="R20" t="s">
        <v>31</v>
      </c>
    </row>
    <row r="21" spans="2:18" x14ac:dyDescent="0.25">
      <c r="M21">
        <v>1</v>
      </c>
      <c r="N21" s="17">
        <f>PPMT(13.5%/12,M21,2*12,-28790)</f>
        <v>1051.6127481199621</v>
      </c>
      <c r="O21" s="17">
        <f>IPMT(13.5%/12,M21,2*12,-28790)</f>
        <v>323.88750000000005</v>
      </c>
      <c r="Q21" s="17">
        <f>SUM(N21:N44)</f>
        <v>28789.999999999993</v>
      </c>
      <c r="R21" s="17">
        <f>SUM(O21:O44)</f>
        <v>4222.0059548790996</v>
      </c>
    </row>
    <row r="22" spans="2:18" x14ac:dyDescent="0.25">
      <c r="M22">
        <v>2</v>
      </c>
      <c r="N22" s="17">
        <f>PPMT(13.5%/12,M22,2*12,-28790)</f>
        <v>1063.4433915363118</v>
      </c>
      <c r="O22" s="17">
        <f>IPMT(13.5%/12,M22,2*12,-28790)</f>
        <v>312.05685658365041</v>
      </c>
    </row>
    <row r="23" spans="2:18" x14ac:dyDescent="0.25">
      <c r="M23">
        <v>3</v>
      </c>
      <c r="N23" s="17">
        <f t="shared" ref="N23:N44" si="0">PPMT(13.5%/12,M23,2*12,-28790)</f>
        <v>1075.4071296910954</v>
      </c>
      <c r="O23" s="17">
        <f t="shared" ref="O23:O44" si="1">IPMT(13.5%/12,M23,2*12,-28790)</f>
        <v>300.09311842886694</v>
      </c>
    </row>
    <row r="24" spans="2:18" x14ac:dyDescent="0.25">
      <c r="M24">
        <v>4</v>
      </c>
      <c r="N24" s="17">
        <f t="shared" si="0"/>
        <v>1087.5054599001201</v>
      </c>
      <c r="O24" s="17">
        <f t="shared" si="1"/>
        <v>287.99478821984212</v>
      </c>
    </row>
    <row r="25" spans="2:18" x14ac:dyDescent="0.25">
      <c r="M25">
        <v>5</v>
      </c>
      <c r="N25" s="17">
        <f t="shared" si="0"/>
        <v>1099.7398963239966</v>
      </c>
      <c r="O25" s="17">
        <f t="shared" si="1"/>
        <v>275.76035179596573</v>
      </c>
    </row>
    <row r="26" spans="2:18" x14ac:dyDescent="0.25">
      <c r="M26">
        <v>6</v>
      </c>
      <c r="N26" s="17">
        <f t="shared" si="0"/>
        <v>1112.1119701576415</v>
      </c>
      <c r="O26" s="17">
        <f t="shared" si="1"/>
        <v>263.38827796232073</v>
      </c>
    </row>
    <row r="27" spans="2:18" x14ac:dyDescent="0.25">
      <c r="M27">
        <v>7</v>
      </c>
      <c r="N27" s="17">
        <f t="shared" si="0"/>
        <v>1124.6232298219147</v>
      </c>
      <c r="O27" s="17">
        <f t="shared" si="1"/>
        <v>250.87701829804735</v>
      </c>
    </row>
    <row r="28" spans="2:18" x14ac:dyDescent="0.25">
      <c r="M28">
        <v>8</v>
      </c>
      <c r="N28" s="17">
        <f t="shared" si="0"/>
        <v>1137.2752411574115</v>
      </c>
      <c r="O28" s="17">
        <f t="shared" si="1"/>
        <v>238.22500696255079</v>
      </c>
    </row>
    <row r="29" spans="2:18" x14ac:dyDescent="0.25">
      <c r="B29" s="17"/>
      <c r="M29">
        <v>9</v>
      </c>
      <c r="N29" s="17">
        <f t="shared" si="0"/>
        <v>1150.0695876204325</v>
      </c>
      <c r="O29" s="17">
        <f t="shared" si="1"/>
        <v>225.43066049952986</v>
      </c>
    </row>
    <row r="30" spans="2:18" x14ac:dyDescent="0.25">
      <c r="B30" s="17"/>
      <c r="M30">
        <v>10</v>
      </c>
      <c r="N30" s="17">
        <f t="shared" si="0"/>
        <v>1163.0078704811622</v>
      </c>
      <c r="O30" s="17">
        <f t="shared" si="1"/>
        <v>212.49237763880001</v>
      </c>
    </row>
    <row r="31" spans="2:18" x14ac:dyDescent="0.25">
      <c r="M31">
        <v>11</v>
      </c>
      <c r="N31" s="17">
        <f t="shared" si="0"/>
        <v>1176.0917090240753</v>
      </c>
      <c r="O31" s="17">
        <f t="shared" si="1"/>
        <v>199.40853909588691</v>
      </c>
    </row>
    <row r="32" spans="2:18" x14ac:dyDescent="0.25">
      <c r="M32">
        <v>12</v>
      </c>
      <c r="N32" s="17">
        <f t="shared" si="0"/>
        <v>1189.3227407505963</v>
      </c>
      <c r="O32" s="17">
        <f t="shared" si="1"/>
        <v>186.17750736936608</v>
      </c>
    </row>
    <row r="33" spans="12:15" x14ac:dyDescent="0.25">
      <c r="M33">
        <v>13</v>
      </c>
      <c r="N33" s="17">
        <f t="shared" si="0"/>
        <v>1202.7026215840403</v>
      </c>
      <c r="O33" s="17">
        <f t="shared" si="1"/>
        <v>172.79762653592186</v>
      </c>
    </row>
    <row r="34" spans="12:15" x14ac:dyDescent="0.25">
      <c r="M34">
        <v>14</v>
      </c>
      <c r="N34" s="17">
        <f t="shared" si="0"/>
        <v>1216.2330260768608</v>
      </c>
      <c r="O34" s="17">
        <f t="shared" si="1"/>
        <v>159.26722204310141</v>
      </c>
    </row>
    <row r="35" spans="12:15" x14ac:dyDescent="0.25">
      <c r="M35">
        <v>15</v>
      </c>
      <c r="N35" s="17">
        <f t="shared" si="0"/>
        <v>1229.9156476202256</v>
      </c>
      <c r="O35" s="17">
        <f t="shared" si="1"/>
        <v>145.58460049973672</v>
      </c>
    </row>
    <row r="36" spans="12:15" x14ac:dyDescent="0.25">
      <c r="M36">
        <v>16</v>
      </c>
      <c r="N36" s="17">
        <f t="shared" si="0"/>
        <v>1243.7521986559532</v>
      </c>
      <c r="O36" s="17">
        <f t="shared" si="1"/>
        <v>131.74804946400917</v>
      </c>
    </row>
    <row r="37" spans="12:15" x14ac:dyDescent="0.25">
      <c r="M37">
        <v>17</v>
      </c>
      <c r="N37" s="17">
        <f t="shared" si="0"/>
        <v>1257.7444108908326</v>
      </c>
      <c r="O37" s="17">
        <f t="shared" si="1"/>
        <v>117.75583722912971</v>
      </c>
    </row>
    <row r="38" spans="12:15" x14ac:dyDescent="0.25">
      <c r="M38">
        <v>18</v>
      </c>
      <c r="N38" s="17">
        <f t="shared" si="0"/>
        <v>1271.8940355133543</v>
      </c>
      <c r="O38" s="17">
        <f t="shared" si="1"/>
        <v>103.60621260660784</v>
      </c>
    </row>
    <row r="39" spans="12:15" x14ac:dyDescent="0.25">
      <c r="M39">
        <v>19</v>
      </c>
      <c r="N39" s="17">
        <f t="shared" si="0"/>
        <v>1286.2028434128797</v>
      </c>
      <c r="O39" s="17">
        <f t="shared" si="1"/>
        <v>89.297404707082592</v>
      </c>
    </row>
    <row r="40" spans="12:15" x14ac:dyDescent="0.25">
      <c r="M40">
        <v>20</v>
      </c>
      <c r="N40" s="17">
        <f t="shared" si="0"/>
        <v>1300.6726254012747</v>
      </c>
      <c r="O40" s="17">
        <f t="shared" si="1"/>
        <v>74.827622718687692</v>
      </c>
    </row>
    <row r="41" spans="12:15" x14ac:dyDescent="0.25">
      <c r="M41">
        <v>21</v>
      </c>
      <c r="N41" s="17">
        <f t="shared" si="0"/>
        <v>1315.3051924370388</v>
      </c>
      <c r="O41" s="17">
        <f t="shared" si="1"/>
        <v>60.195055682923353</v>
      </c>
    </row>
    <row r="42" spans="12:15" x14ac:dyDescent="0.25">
      <c r="M42">
        <v>22</v>
      </c>
      <c r="N42" s="17">
        <f t="shared" si="0"/>
        <v>1330.1023758519557</v>
      </c>
      <c r="O42" s="17">
        <f t="shared" si="1"/>
        <v>45.397872268006672</v>
      </c>
    </row>
    <row r="43" spans="12:15" x14ac:dyDescent="0.25">
      <c r="M43">
        <v>23</v>
      </c>
      <c r="N43" s="17">
        <f t="shared" si="0"/>
        <v>1345.0660275802902</v>
      </c>
      <c r="O43" s="17">
        <f t="shared" si="1"/>
        <v>30.434220539672165</v>
      </c>
    </row>
    <row r="44" spans="12:15" x14ac:dyDescent="0.25">
      <c r="M44">
        <v>24</v>
      </c>
      <c r="N44" s="17">
        <f t="shared" si="0"/>
        <v>1360.1980203905684</v>
      </c>
      <c r="O44" s="17">
        <f t="shared" si="1"/>
        <v>15.302227729393897</v>
      </c>
    </row>
    <row r="46" spans="12:15" x14ac:dyDescent="0.25">
      <c r="L46" t="s">
        <v>32</v>
      </c>
      <c r="M46" s="24">
        <f>RATE(24,-N18,Q21)</f>
        <v>1.1250000000000012E-2</v>
      </c>
      <c r="N46" t="s">
        <v>33</v>
      </c>
    </row>
    <row r="47" spans="12:15" x14ac:dyDescent="0.25">
      <c r="M47" s="18">
        <f>M46*12</f>
        <v>0.13500000000000015</v>
      </c>
      <c r="N47" s="17" t="s">
        <v>34</v>
      </c>
    </row>
    <row r="49" spans="12:14" x14ac:dyDescent="0.25">
      <c r="L49" t="s">
        <v>35</v>
      </c>
      <c r="M49" s="25">
        <f>NPER(M46,-N18,Q21)</f>
        <v>24.00000000000006</v>
      </c>
      <c r="N49" t="s">
        <v>36</v>
      </c>
    </row>
    <row r="51" spans="12:14" x14ac:dyDescent="0.25">
      <c r="L51" t="s">
        <v>37</v>
      </c>
      <c r="M51" s="17">
        <f>FV(8%/4,25*4,-537)</f>
        <v>167668.74827507508</v>
      </c>
      <c r="N51" t="s">
        <v>38</v>
      </c>
    </row>
    <row r="53" spans="12:14" x14ac:dyDescent="0.25">
      <c r="L53" t="s">
        <v>39</v>
      </c>
      <c r="M53">
        <f>18000*20</f>
        <v>360000</v>
      </c>
    </row>
    <row r="54" spans="12:14" x14ac:dyDescent="0.25">
      <c r="M54" s="17">
        <f>FV(8%,20,-18000,-350000)</f>
        <v>2455050.3577133515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F513-C6B3-4974-ABF0-E8ABA213CEA1}">
  <dimension ref="A1:F27"/>
  <sheetViews>
    <sheetView showGridLines="0" topLeftCell="A16" zoomScale="145" zoomScaleNormal="145" workbookViewId="0">
      <selection activeCell="D19" sqref="D19"/>
    </sheetView>
  </sheetViews>
  <sheetFormatPr defaultColWidth="9.28515625" defaultRowHeight="14.25" x14ac:dyDescent="0.2"/>
  <cols>
    <col min="1" max="1" width="5.42578125" style="4" customWidth="1"/>
    <col min="2" max="5" width="13.7109375" style="4" customWidth="1"/>
    <col min="6" max="6" width="6.42578125" style="4" customWidth="1"/>
    <col min="7" max="16384" width="9.28515625" style="4"/>
  </cols>
  <sheetData>
    <row r="1" spans="1:6" ht="18.75" customHeight="1" x14ac:dyDescent="0.2">
      <c r="A1" s="1"/>
      <c r="B1" s="2"/>
      <c r="C1" s="2"/>
      <c r="D1" s="2"/>
      <c r="E1" s="2"/>
      <c r="F1" s="3"/>
    </row>
    <row r="2" spans="1:6" ht="18.75" customHeight="1" x14ac:dyDescent="0.2">
      <c r="A2" s="5"/>
      <c r="B2" s="6"/>
      <c r="C2" s="6"/>
      <c r="D2" s="6"/>
      <c r="E2" s="6"/>
      <c r="F2" s="7"/>
    </row>
    <row r="3" spans="1:6" ht="18.75" customHeight="1" x14ac:dyDescent="0.2">
      <c r="A3" s="5"/>
      <c r="B3" s="6"/>
      <c r="C3" s="6"/>
      <c r="D3" s="6"/>
      <c r="E3" s="6"/>
      <c r="F3" s="7"/>
    </row>
    <row r="4" spans="1:6" ht="18.75" customHeight="1" x14ac:dyDescent="0.2">
      <c r="A4" s="5"/>
      <c r="B4" s="6"/>
      <c r="C4" s="6"/>
      <c r="D4" s="6"/>
      <c r="E4" s="6"/>
      <c r="F4" s="7"/>
    </row>
    <row r="5" spans="1:6" x14ac:dyDescent="0.2">
      <c r="A5" s="8"/>
      <c r="B5" s="19" t="s">
        <v>0</v>
      </c>
      <c r="C5" s="19"/>
      <c r="D5" s="19"/>
      <c r="E5" s="19"/>
      <c r="F5" s="9"/>
    </row>
    <row r="6" spans="1:6" x14ac:dyDescent="0.2">
      <c r="A6" s="8"/>
      <c r="B6" s="19"/>
      <c r="C6" s="19"/>
      <c r="D6" s="19"/>
      <c r="E6" s="19"/>
      <c r="F6" s="9"/>
    </row>
    <row r="7" spans="1:6" x14ac:dyDescent="0.2">
      <c r="A7" s="8"/>
      <c r="B7" s="4" t="s">
        <v>1</v>
      </c>
      <c r="F7" s="9"/>
    </row>
    <row r="8" spans="1:6" x14ac:dyDescent="0.2">
      <c r="A8" s="8"/>
      <c r="F8" s="9"/>
    </row>
    <row r="9" spans="1:6" x14ac:dyDescent="0.2">
      <c r="A9" s="8"/>
      <c r="B9" s="4" t="s">
        <v>2</v>
      </c>
      <c r="F9" s="9"/>
    </row>
    <row r="10" spans="1:6" x14ac:dyDescent="0.2">
      <c r="A10" s="8"/>
      <c r="B10" s="4" t="s">
        <v>3</v>
      </c>
      <c r="F10" s="9"/>
    </row>
    <row r="11" spans="1:6" x14ac:dyDescent="0.2">
      <c r="A11" s="8"/>
      <c r="F11" s="9"/>
    </row>
    <row r="12" spans="1:6" x14ac:dyDescent="0.2">
      <c r="A12" s="8"/>
      <c r="B12" s="20" t="s">
        <v>4</v>
      </c>
      <c r="C12" s="20"/>
      <c r="D12" s="20"/>
      <c r="E12" s="20"/>
      <c r="F12" s="9"/>
    </row>
    <row r="13" spans="1:6" x14ac:dyDescent="0.2">
      <c r="A13" s="8"/>
      <c r="F13" s="9"/>
    </row>
    <row r="14" spans="1:6" x14ac:dyDescent="0.2">
      <c r="A14" s="8"/>
      <c r="C14" s="4" t="s">
        <v>5</v>
      </c>
      <c r="D14" s="4" t="s">
        <v>6</v>
      </c>
      <c r="F14" s="9"/>
    </row>
    <row r="15" spans="1:6" x14ac:dyDescent="0.2">
      <c r="A15" s="8"/>
      <c r="F15" s="9"/>
    </row>
    <row r="16" spans="1:6" ht="19.899999999999999" customHeight="1" x14ac:dyDescent="0.2">
      <c r="A16" s="21" t="s">
        <v>7</v>
      </c>
      <c r="B16" s="22"/>
      <c r="C16" s="22"/>
      <c r="D16" s="22"/>
      <c r="E16" s="22"/>
      <c r="F16" s="23"/>
    </row>
    <row r="17" spans="1:6" ht="16.149999999999999" customHeight="1" x14ac:dyDescent="0.2">
      <c r="A17" s="21"/>
      <c r="B17" s="22"/>
      <c r="C17" s="22"/>
      <c r="D17" s="22"/>
      <c r="E17" s="22"/>
      <c r="F17" s="23"/>
    </row>
    <row r="18" spans="1:6" ht="13.9" customHeight="1" x14ac:dyDescent="0.2">
      <c r="A18" s="10"/>
      <c r="B18" s="11"/>
      <c r="C18" s="11"/>
      <c r="D18" s="11"/>
      <c r="E18" s="11"/>
      <c r="F18" s="12"/>
    </row>
    <row r="19" spans="1:6" x14ac:dyDescent="0.2">
      <c r="A19" s="8"/>
      <c r="B19" s="4" t="s">
        <v>8</v>
      </c>
      <c r="F19" s="9"/>
    </row>
    <row r="20" spans="1:6" x14ac:dyDescent="0.2">
      <c r="A20" s="8"/>
      <c r="B20" s="4" t="s">
        <v>9</v>
      </c>
      <c r="F20" s="9"/>
    </row>
    <row r="21" spans="1:6" x14ac:dyDescent="0.2">
      <c r="A21" s="8"/>
      <c r="F21" s="9"/>
    </row>
    <row r="22" spans="1:6" ht="15" x14ac:dyDescent="0.25">
      <c r="A22" s="8"/>
      <c r="B22" t="s">
        <v>10</v>
      </c>
      <c r="C22" s="13"/>
      <c r="F22" s="9"/>
    </row>
    <row r="23" spans="1:6" x14ac:dyDescent="0.2">
      <c r="A23" s="8"/>
      <c r="F23" s="9"/>
    </row>
    <row r="24" spans="1:6" x14ac:dyDescent="0.2">
      <c r="A24" s="8"/>
      <c r="B24" s="4" t="s">
        <v>11</v>
      </c>
      <c r="F24" s="9"/>
    </row>
    <row r="25" spans="1:6" x14ac:dyDescent="0.2">
      <c r="A25" s="8"/>
      <c r="B25" s="4" t="s">
        <v>12</v>
      </c>
      <c r="F25" s="9"/>
    </row>
    <row r="26" spans="1:6" x14ac:dyDescent="0.2">
      <c r="A26" s="8"/>
      <c r="B26" s="4" t="s">
        <v>13</v>
      </c>
      <c r="C26" s="13"/>
      <c r="F26" s="9"/>
    </row>
    <row r="27" spans="1:6" ht="15" thickBot="1" x14ac:dyDescent="0.25">
      <c r="A27" s="14"/>
      <c r="B27" s="15" t="s">
        <v>14</v>
      </c>
      <c r="C27" s="15"/>
      <c r="D27" s="15"/>
      <c r="E27" s="15"/>
      <c r="F27" s="16"/>
    </row>
  </sheetData>
  <sheetProtection password="E8C3" sheet="1" objects="1" scenarios="1"/>
  <mergeCells count="3">
    <mergeCell ref="B5:E6"/>
    <mergeCell ref="B12:E12"/>
    <mergeCell ref="A16:F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Challange</vt:lpstr>
      <vt:lpstr>Thank you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2026-09-12T16:14:54Z</dcterms:modified>
</cp:coreProperties>
</file>