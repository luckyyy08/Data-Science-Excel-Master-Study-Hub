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237F6C1D-E9E0-4325-828D-FBBF6E47833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Category">Sheet1!$D$114:$D$126</definedName>
    <definedName name="First_Name">Sheet1!$C$72:$C$77</definedName>
    <definedName name="Full_Name">Sheet1!$E$72:$E$77</definedName>
    <definedName name="Item">Sheet1!$C$114:$C$126</definedName>
    <definedName name="Last_Name">Sheet1!$D$72:$D$77</definedName>
    <definedName name="Value">Sheet1!$E$114:$E$126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1" l="1"/>
  <c r="D54" i="1"/>
  <c r="D53" i="1"/>
  <c r="F132" i="1" l="1"/>
  <c r="F131" i="1"/>
  <c r="F130" i="1"/>
  <c r="F129" i="1"/>
  <c r="E27" i="1"/>
  <c r="F27" i="1"/>
  <c r="G27" i="1"/>
  <c r="H27" i="1"/>
  <c r="D27" i="1"/>
  <c r="J62" i="1"/>
  <c r="J63" i="1"/>
  <c r="J64" i="1"/>
  <c r="J65" i="1"/>
  <c r="J66" i="1"/>
  <c r="J61" i="1"/>
  <c r="F10" i="1"/>
  <c r="F11" i="1"/>
  <c r="F12" i="1"/>
  <c r="F13" i="1"/>
  <c r="F14" i="1"/>
  <c r="F9" i="1"/>
  <c r="H408" i="1" l="1"/>
  <c r="G408" i="1"/>
  <c r="F408" i="1"/>
  <c r="E408" i="1"/>
  <c r="D408" i="1"/>
  <c r="I407" i="1"/>
  <c r="I406" i="1"/>
  <c r="I405" i="1"/>
  <c r="I408" i="1" s="1"/>
  <c r="I404" i="1"/>
  <c r="I403" i="1"/>
  <c r="H245" i="1"/>
  <c r="G245" i="1"/>
  <c r="F245" i="1"/>
  <c r="E245" i="1"/>
  <c r="D245" i="1"/>
  <c r="I245" i="1" s="1"/>
  <c r="I244" i="1"/>
  <c r="I243" i="1"/>
  <c r="I242" i="1"/>
  <c r="I241" i="1"/>
  <c r="I240" i="1"/>
  <c r="H236" i="1"/>
  <c r="G236" i="1"/>
  <c r="F236" i="1"/>
  <c r="E236" i="1"/>
  <c r="D236" i="1"/>
  <c r="I235" i="1"/>
  <c r="I234" i="1"/>
  <c r="I233" i="1"/>
  <c r="I232" i="1"/>
  <c r="I231" i="1"/>
  <c r="I236" i="1" s="1"/>
  <c r="H212" i="1"/>
  <c r="G212" i="1"/>
  <c r="F212" i="1"/>
  <c r="E212" i="1"/>
  <c r="D212" i="1"/>
  <c r="I211" i="1"/>
  <c r="I210" i="1"/>
  <c r="I209" i="1"/>
  <c r="I208" i="1"/>
  <c r="I207" i="1"/>
  <c r="I212" i="1" s="1"/>
  <c r="G198" i="1"/>
  <c r="F198" i="1"/>
  <c r="E198" i="1"/>
  <c r="H197" i="1"/>
  <c r="H196" i="1"/>
  <c r="H195" i="1"/>
  <c r="H194" i="1"/>
  <c r="H193" i="1"/>
  <c r="H192" i="1"/>
  <c r="H191" i="1"/>
  <c r="H190" i="1"/>
  <c r="H189" i="1"/>
  <c r="H188" i="1"/>
  <c r="H187" i="1"/>
  <c r="H198" i="1" s="1"/>
  <c r="H26" i="1"/>
  <c r="H25" i="1"/>
  <c r="H24" i="1"/>
  <c r="H23" i="1"/>
  <c r="F15" i="1"/>
</calcChain>
</file>

<file path=xl/sharedStrings.xml><?xml version="1.0" encoding="utf-8"?>
<sst xmlns="http://schemas.openxmlformats.org/spreadsheetml/2006/main" count="506" uniqueCount="201">
  <si>
    <t xml:space="preserve">Q.1 ) </t>
  </si>
  <si>
    <t>Calculate the Increase Salary Base on % of Rise Column</t>
  </si>
  <si>
    <t>Grade</t>
  </si>
  <si>
    <t>% Rise</t>
  </si>
  <si>
    <t>A</t>
  </si>
  <si>
    <t>B</t>
  </si>
  <si>
    <t>C</t>
  </si>
  <si>
    <t>Name</t>
  </si>
  <si>
    <t>Old Salary</t>
  </si>
  <si>
    <t>Increase Salary</t>
  </si>
  <si>
    <t>Alan</t>
  </si>
  <si>
    <t>Bob</t>
  </si>
  <si>
    <t>Carol</t>
  </si>
  <si>
    <t>David</t>
  </si>
  <si>
    <t>Elaine</t>
  </si>
  <si>
    <t>Frank</t>
  </si>
  <si>
    <t>TOTAL</t>
  </si>
  <si>
    <t>-</t>
  </si>
  <si>
    <t>Q. 2 )</t>
  </si>
  <si>
    <t>Calculate Next Year Budget As per Last Year Salience.</t>
  </si>
  <si>
    <t>Last years budget</t>
  </si>
  <si>
    <t>Region</t>
  </si>
  <si>
    <t>Q1</t>
  </si>
  <si>
    <t>Q2</t>
  </si>
  <si>
    <t>Q3</t>
  </si>
  <si>
    <t>Q4</t>
  </si>
  <si>
    <t>North</t>
  </si>
  <si>
    <t>South</t>
  </si>
  <si>
    <t>East</t>
  </si>
  <si>
    <t>West</t>
  </si>
  <si>
    <t>Total</t>
  </si>
  <si>
    <t>Next years budget</t>
  </si>
  <si>
    <t>Next years estimated budget requirements</t>
  </si>
  <si>
    <t>Growth % Between Last Year To Next Year</t>
  </si>
  <si>
    <t>Q. 3 )</t>
  </si>
  <si>
    <t>You can calculate a persons age based on their birthday and todays date.</t>
  </si>
  <si>
    <t>Birth date :</t>
  </si>
  <si>
    <t>Years lived :</t>
  </si>
  <si>
    <t>and the months :</t>
  </si>
  <si>
    <t>and the days :</t>
  </si>
  <si>
    <t>Q.4 )</t>
  </si>
  <si>
    <t>Calculate the Average</t>
  </si>
  <si>
    <t>NAME</t>
  </si>
  <si>
    <t>Apr</t>
  </si>
  <si>
    <t>May</t>
  </si>
  <si>
    <t>June</t>
  </si>
  <si>
    <t>July</t>
  </si>
  <si>
    <t>Aug</t>
  </si>
  <si>
    <t>Sep</t>
  </si>
  <si>
    <t>Average</t>
  </si>
  <si>
    <t>Q. 5 )</t>
  </si>
  <si>
    <t>Joine the First Name And Last Name In One Column</t>
  </si>
  <si>
    <t>First Name</t>
  </si>
  <si>
    <t>Last Name</t>
  </si>
  <si>
    <t>Full Name</t>
  </si>
  <si>
    <t>Jones</t>
  </si>
  <si>
    <t>Williams</t>
  </si>
  <si>
    <t>Davies</t>
  </si>
  <si>
    <t>Q. 6 )</t>
  </si>
  <si>
    <t>Separate the First Name and Last Name</t>
  </si>
  <si>
    <t>Alan Jones</t>
  </si>
  <si>
    <t>Bob Williams</t>
  </si>
  <si>
    <t>Carol Davies</t>
  </si>
  <si>
    <t>Q. 7 )</t>
  </si>
  <si>
    <t>Highligte By Condition</t>
  </si>
  <si>
    <t>Category</t>
  </si>
  <si>
    <t>0 - 35%</t>
  </si>
  <si>
    <t>36% - 50%</t>
  </si>
  <si>
    <t>51% - 70%</t>
  </si>
  <si>
    <t>71% - 90%</t>
  </si>
  <si>
    <t>91% - 100%</t>
  </si>
  <si>
    <t>Font Color</t>
  </si>
  <si>
    <t>RED</t>
  </si>
  <si>
    <t>Purple</t>
  </si>
  <si>
    <t>Blue</t>
  </si>
  <si>
    <t>Orange</t>
  </si>
  <si>
    <t>Green</t>
  </si>
  <si>
    <t>Item</t>
  </si>
  <si>
    <t>Sameer</t>
  </si>
  <si>
    <t>Eric</t>
  </si>
  <si>
    <t>Fred</t>
  </si>
  <si>
    <t>Gail</t>
  </si>
  <si>
    <t>Harry</t>
  </si>
  <si>
    <t>Ian</t>
  </si>
  <si>
    <t>Janice</t>
  </si>
  <si>
    <t>Q.8 )</t>
  </si>
  <si>
    <t>Use SUMIF Formula</t>
  </si>
  <si>
    <t>Value</t>
  </si>
  <si>
    <t>Brakes</t>
  </si>
  <si>
    <t>Tyres</t>
  </si>
  <si>
    <t>Service</t>
  </si>
  <si>
    <t>How Much Sum Value Of Service in A Catogery Only</t>
  </si>
  <si>
    <t>How Much Sum Value Of Tyres in B Catogery Only</t>
  </si>
  <si>
    <t>How Much Sum Value Of Brakes &amp; Service in A Catogery Only</t>
  </si>
  <si>
    <t>How Much Sum Value Of Tyres &amp; Service in B Catogery Only</t>
  </si>
  <si>
    <t>Q.9 )</t>
  </si>
  <si>
    <t>USE Countif Furmula</t>
  </si>
  <si>
    <t>Catogery</t>
  </si>
  <si>
    <t xml:space="preserve">How Many Count No. Between 60 to 200. </t>
  </si>
  <si>
    <t>How Many Count No. More than Equal 100 or above.</t>
  </si>
  <si>
    <t>How Many Count No. Of Service in A Catogery Only</t>
  </si>
  <si>
    <t>How Many Count No. Of Tyres &amp; Service in B Catogery Only</t>
  </si>
  <si>
    <t>Q. 10 )</t>
  </si>
  <si>
    <t>This function uses at least two columns of values.</t>
  </si>
  <si>
    <t>The values in the first column are multipled with the corresponding value in the second column.</t>
  </si>
  <si>
    <t>The total of all the values is the result of the calculation.</t>
  </si>
  <si>
    <t>Quantity Of Item</t>
  </si>
  <si>
    <t>price</t>
  </si>
  <si>
    <t>Filters</t>
  </si>
  <si>
    <t>Bulbs</t>
  </si>
  <si>
    <t xml:space="preserve">Total Sales Value : </t>
  </si>
  <si>
    <t>Q.11 )</t>
  </si>
  <si>
    <t>VLOOKUP</t>
  </si>
  <si>
    <t>This function scans down the row headings at the side of a table to find a specified item.</t>
  </si>
  <si>
    <t>When the item is found, it then scans across to pick a cell entry.</t>
  </si>
  <si>
    <t>Lookup Table</t>
  </si>
  <si>
    <t>Vauxhall</t>
  </si>
  <si>
    <t>Ford</t>
  </si>
  <si>
    <t>VW</t>
  </si>
  <si>
    <t>GearBox</t>
  </si>
  <si>
    <t>Engine</t>
  </si>
  <si>
    <t>Steering</t>
  </si>
  <si>
    <t>Ignition</t>
  </si>
  <si>
    <t>CYHead</t>
  </si>
  <si>
    <t>Maker</t>
  </si>
  <si>
    <t>Q. 12 )</t>
  </si>
  <si>
    <t>HLOOUP</t>
  </si>
  <si>
    <t>Hookup Table</t>
  </si>
  <si>
    <t>SM</t>
  </si>
  <si>
    <t>NOP</t>
  </si>
  <si>
    <t>Q. 13 )</t>
  </si>
  <si>
    <t>Index + Match</t>
  </si>
  <si>
    <t>Table</t>
  </si>
  <si>
    <t>Q. 14 )</t>
  </si>
  <si>
    <t>Count how many time name is repeated</t>
  </si>
  <si>
    <t>Count</t>
  </si>
  <si>
    <t>Frandy</t>
  </si>
  <si>
    <t>Smit</t>
  </si>
  <si>
    <t>Q. 15)</t>
  </si>
  <si>
    <t>Calculate Grade As per Marks</t>
  </si>
  <si>
    <t>Marks</t>
  </si>
  <si>
    <t xml:space="preserve">0 to 34 </t>
  </si>
  <si>
    <t xml:space="preserve">35 to 50 </t>
  </si>
  <si>
    <t>51 to 70</t>
  </si>
  <si>
    <t>71 to 90</t>
  </si>
  <si>
    <t>91 and Above</t>
  </si>
  <si>
    <t>D</t>
  </si>
  <si>
    <t>A+</t>
  </si>
  <si>
    <t>Q. 16)</t>
  </si>
  <si>
    <t>Find the Position Who is first to end As per Sr. No.</t>
  </si>
  <si>
    <t>Maths</t>
  </si>
  <si>
    <t>Position No.</t>
  </si>
  <si>
    <t>Q. 17 )</t>
  </si>
  <si>
    <t>Find the position of the Text Letter in Which number.</t>
  </si>
  <si>
    <t>Text</t>
  </si>
  <si>
    <t>Letter To Find</t>
  </si>
  <si>
    <t>Position Of Letter</t>
  </si>
  <si>
    <t>Hello</t>
  </si>
  <si>
    <t>l</t>
  </si>
  <si>
    <t>Bye</t>
  </si>
  <si>
    <t>y</t>
  </si>
  <si>
    <t>Taken</t>
  </si>
  <si>
    <t>k</t>
  </si>
  <si>
    <t>Product</t>
  </si>
  <si>
    <t>c</t>
  </si>
  <si>
    <t>n</t>
  </si>
  <si>
    <t>i</t>
  </si>
  <si>
    <t>Q. 18 )</t>
  </si>
  <si>
    <t>Find the Position Name Of the Number</t>
  </si>
  <si>
    <t>Names</t>
  </si>
  <si>
    <t>Position Name</t>
  </si>
  <si>
    <t>No. Of Position</t>
  </si>
  <si>
    <t>Q . 19 )</t>
  </si>
  <si>
    <t>Calculate the Minimum value &amp; Maximum Value</t>
  </si>
  <si>
    <t>Value1</t>
  </si>
  <si>
    <t>Value2</t>
  </si>
  <si>
    <t>Value3</t>
  </si>
  <si>
    <t>Value4</t>
  </si>
  <si>
    <t>Min Value</t>
  </si>
  <si>
    <t>Max Value</t>
  </si>
  <si>
    <t>Q . 20)</t>
  </si>
  <si>
    <t>Calculate The Vat Value as per Vat % and Actual Value &amp; Excluding Vat Value.</t>
  </si>
  <si>
    <t>Receipt</t>
  </si>
  <si>
    <t>Total Value</t>
  </si>
  <si>
    <t>% Of Vat</t>
  </si>
  <si>
    <t>Vat Value</t>
  </si>
  <si>
    <t>Petrol</t>
  </si>
  <si>
    <t>Hotel</t>
  </si>
  <si>
    <t>Diesel</t>
  </si>
  <si>
    <t>Actual @100% Value</t>
  </si>
  <si>
    <t>Expenses</t>
  </si>
  <si>
    <t>Mobile</t>
  </si>
  <si>
    <t>Traveling</t>
  </si>
  <si>
    <t>Excl. Vat Value (Actual Value - Vat Value)</t>
  </si>
  <si>
    <t>Q. 21)</t>
  </si>
  <si>
    <t>Draw pivots from data in first sheet. Format &amp; analyse the Pivots &amp; share your inputs. Minimum 5 observations should be there</t>
  </si>
  <si>
    <t>a) Issued Month wise (FY 13-14) / Branch Wise / Modal Premium - compare business growth over the previous year</t>
  </si>
  <si>
    <t>b) Issued Month Wise / Branch Wise /  Issued Year Wise (take last 2yrs only) / Modal Premium</t>
  </si>
  <si>
    <t>C) Issued Month Wise / Mode Wise /  Issued Year Wise (take only 2012-2013) / Modal Premium</t>
  </si>
  <si>
    <t>Q. 22)</t>
  </si>
  <si>
    <t>Draw the Chart as per giving below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</si>
</sst>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_);_(@_)"/>
    <numFmt numFmtId="167" formatCode="0.000%"/>
    <numFmt numFmtId="168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9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3" borderId="0" applyNumberFormat="0" applyFont="0" applyBorder="0" applyAlignment="0" applyProtection="0"/>
    <xf numFmtId="0" fontId="4" fillId="5" borderId="0" applyNumberFormat="0" applyFont="0" applyBorder="0" applyAlignment="0" applyProtection="0"/>
  </cellStyleXfs>
  <cellXfs count="207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1" xfId="3" applyFont="1" applyFill="1" applyBorder="1" applyAlignment="1">
      <alignment horizontal="center" vertical="center"/>
    </xf>
    <xf numFmtId="0" fontId="2" fillId="4" borderId="2" xfId="3" applyFont="1" applyFill="1" applyBorder="1" applyAlignment="1">
      <alignment horizontal="center" vertical="center"/>
    </xf>
    <xf numFmtId="0" fontId="3" fillId="6" borderId="3" xfId="4" applyFont="1" applyFill="1" applyBorder="1" applyAlignment="1">
      <alignment horizontal="center" vertical="center"/>
    </xf>
    <xf numFmtId="9" fontId="3" fillId="6" borderId="4" xfId="4" applyNumberFormat="1" applyFont="1" applyFill="1" applyBorder="1" applyAlignment="1">
      <alignment horizontal="center" vertical="center"/>
    </xf>
    <xf numFmtId="0" fontId="3" fillId="6" borderId="5" xfId="4" applyFont="1" applyFill="1" applyBorder="1" applyAlignment="1">
      <alignment horizontal="center" vertical="center"/>
    </xf>
    <xf numFmtId="9" fontId="3" fillId="6" borderId="6" xfId="4" applyNumberFormat="1" applyFont="1" applyFill="1" applyBorder="1" applyAlignment="1">
      <alignment horizontal="center" vertical="center"/>
    </xf>
    <xf numFmtId="0" fontId="3" fillId="6" borderId="7" xfId="4" applyFont="1" applyFill="1" applyBorder="1" applyAlignment="1">
      <alignment horizontal="center" vertical="center"/>
    </xf>
    <xf numFmtId="9" fontId="3" fillId="6" borderId="8" xfId="4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4" borderId="9" xfId="3" applyFont="1" applyFill="1" applyBorder="1" applyAlignment="1">
      <alignment horizontal="center" vertical="center"/>
    </xf>
    <xf numFmtId="0" fontId="3" fillId="6" borderId="3" xfId="3" applyFont="1" applyFill="1" applyBorder="1" applyAlignment="1">
      <alignment horizontal="center" vertical="center"/>
    </xf>
    <xf numFmtId="0" fontId="3" fillId="6" borderId="10" xfId="4" applyFont="1" applyFill="1" applyBorder="1" applyAlignment="1">
      <alignment horizontal="center" vertical="center"/>
    </xf>
    <xf numFmtId="3" fontId="3" fillId="6" borderId="10" xfId="4" applyNumberFormat="1" applyFont="1" applyFill="1" applyBorder="1" applyAlignment="1">
      <alignment vertical="center"/>
    </xf>
    <xf numFmtId="0" fontId="3" fillId="7" borderId="4" xfId="2" applyNumberFormat="1" applyFont="1" applyFill="1" applyBorder="1" applyAlignment="1">
      <alignment vertical="center"/>
    </xf>
    <xf numFmtId="0" fontId="3" fillId="6" borderId="5" xfId="3" applyFont="1" applyFill="1" applyBorder="1" applyAlignment="1">
      <alignment horizontal="center" vertical="center"/>
    </xf>
    <xf numFmtId="0" fontId="3" fillId="6" borderId="11" xfId="4" applyFont="1" applyFill="1" applyBorder="1" applyAlignment="1">
      <alignment horizontal="center" vertical="center"/>
    </xf>
    <xf numFmtId="3" fontId="3" fillId="6" borderId="11" xfId="4" applyNumberFormat="1" applyFont="1" applyFill="1" applyBorder="1" applyAlignment="1">
      <alignment vertical="center"/>
    </xf>
    <xf numFmtId="0" fontId="3" fillId="6" borderId="12" xfId="3" applyFont="1" applyFill="1" applyBorder="1" applyAlignment="1">
      <alignment horizontal="center" vertical="center"/>
    </xf>
    <xf numFmtId="0" fontId="3" fillId="6" borderId="13" xfId="4" applyFont="1" applyFill="1" applyBorder="1" applyAlignment="1">
      <alignment horizontal="center" vertical="center"/>
    </xf>
    <xf numFmtId="3" fontId="3" fillId="6" borderId="13" xfId="4" applyNumberFormat="1" applyFont="1" applyFill="1" applyBorder="1" applyAlignment="1">
      <alignment vertical="center"/>
    </xf>
    <xf numFmtId="0" fontId="2" fillId="6" borderId="1" xfId="3" applyFont="1" applyFill="1" applyBorder="1" applyAlignment="1">
      <alignment horizontal="center" vertical="center"/>
    </xf>
    <xf numFmtId="0" fontId="2" fillId="6" borderId="9" xfId="4" applyFont="1" applyFill="1" applyBorder="1" applyAlignment="1">
      <alignment horizontal="center" vertical="center"/>
    </xf>
    <xf numFmtId="3" fontId="2" fillId="6" borderId="9" xfId="4" applyNumberFormat="1" applyFont="1" applyFill="1" applyBorder="1" applyAlignment="1">
      <alignment vertical="center"/>
    </xf>
    <xf numFmtId="3" fontId="2" fillId="6" borderId="2" xfId="4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2" fillId="0" borderId="0" xfId="3" applyFont="1" applyFill="1" applyAlignment="1">
      <alignment vertical="center"/>
    </xf>
    <xf numFmtId="0" fontId="2" fillId="4" borderId="14" xfId="3" applyFont="1" applyFill="1" applyBorder="1" applyAlignment="1">
      <alignment vertical="center"/>
    </xf>
    <xf numFmtId="0" fontId="3" fillId="4" borderId="15" xfId="3" applyFont="1" applyFill="1" applyBorder="1" applyAlignment="1">
      <alignment vertical="center"/>
    </xf>
    <xf numFmtId="165" fontId="6" fillId="8" borderId="16" xfId="4" applyNumberFormat="1" applyFont="1" applyFill="1" applyBorder="1" applyAlignment="1">
      <alignment vertical="center"/>
    </xf>
    <xf numFmtId="0" fontId="2" fillId="4" borderId="16" xfId="3" applyFont="1" applyFill="1" applyBorder="1" applyAlignment="1">
      <alignment vertical="center"/>
    </xf>
    <xf numFmtId="0" fontId="2" fillId="4" borderId="17" xfId="3" applyFont="1" applyFill="1" applyBorder="1" applyAlignment="1">
      <alignment horizontal="center" vertical="center"/>
    </xf>
    <xf numFmtId="0" fontId="2" fillId="4" borderId="18" xfId="3" applyFont="1" applyFill="1" applyBorder="1" applyAlignment="1">
      <alignment horizontal="center" vertical="center"/>
    </xf>
    <xf numFmtId="0" fontId="2" fillId="4" borderId="16" xfId="3" applyFont="1" applyFill="1" applyBorder="1" applyAlignment="1">
      <alignment horizontal="center" vertical="center"/>
    </xf>
    <xf numFmtId="0" fontId="3" fillId="6" borderId="19" xfId="3" applyFont="1" applyFill="1" applyBorder="1" applyAlignment="1">
      <alignment vertical="center"/>
    </xf>
    <xf numFmtId="165" fontId="3" fillId="5" borderId="20" xfId="1" applyNumberFormat="1" applyFont="1" applyFill="1" applyBorder="1" applyAlignment="1">
      <alignment vertical="center"/>
    </xf>
    <xf numFmtId="165" fontId="3" fillId="5" borderId="10" xfId="1" applyNumberFormat="1" applyFont="1" applyFill="1" applyBorder="1" applyAlignment="1">
      <alignment vertical="center"/>
    </xf>
    <xf numFmtId="165" fontId="3" fillId="5" borderId="21" xfId="1" applyNumberFormat="1" applyFont="1" applyFill="1" applyBorder="1" applyAlignment="1">
      <alignment vertical="center"/>
    </xf>
    <xf numFmtId="165" fontId="3" fillId="5" borderId="19" xfId="1" applyNumberFormat="1" applyFont="1" applyFill="1" applyBorder="1" applyAlignment="1">
      <alignment horizontal="center" vertical="center"/>
    </xf>
    <xf numFmtId="9" fontId="3" fillId="0" borderId="0" xfId="2" applyFont="1" applyAlignment="1">
      <alignment vertical="center"/>
    </xf>
    <xf numFmtId="0" fontId="3" fillId="6" borderId="22" xfId="3" applyFont="1" applyFill="1" applyBorder="1" applyAlignment="1">
      <alignment vertical="center"/>
    </xf>
    <xf numFmtId="165" fontId="3" fillId="5" borderId="23" xfId="1" applyNumberFormat="1" applyFont="1" applyFill="1" applyBorder="1" applyAlignment="1">
      <alignment vertical="center"/>
    </xf>
    <xf numFmtId="165" fontId="3" fillId="5" borderId="11" xfId="1" applyNumberFormat="1" applyFont="1" applyFill="1" applyBorder="1" applyAlignment="1">
      <alignment vertical="center"/>
    </xf>
    <xf numFmtId="165" fontId="3" fillId="5" borderId="24" xfId="1" applyNumberFormat="1" applyFont="1" applyFill="1" applyBorder="1" applyAlignment="1">
      <alignment vertical="center"/>
    </xf>
    <xf numFmtId="165" fontId="3" fillId="5" borderId="22" xfId="1" applyNumberFormat="1" applyFont="1" applyFill="1" applyBorder="1" applyAlignment="1">
      <alignment horizontal="center" vertical="center"/>
    </xf>
    <xf numFmtId="10" fontId="3" fillId="0" borderId="0" xfId="2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3" fillId="6" borderId="25" xfId="3" applyFont="1" applyFill="1" applyBorder="1" applyAlignment="1">
      <alignment vertical="center"/>
    </xf>
    <xf numFmtId="165" fontId="3" fillId="5" borderId="26" xfId="1" applyNumberFormat="1" applyFont="1" applyFill="1" applyBorder="1" applyAlignment="1">
      <alignment vertical="center"/>
    </xf>
    <xf numFmtId="165" fontId="3" fillId="5" borderId="13" xfId="1" applyNumberFormat="1" applyFont="1" applyFill="1" applyBorder="1" applyAlignment="1">
      <alignment vertical="center"/>
    </xf>
    <xf numFmtId="165" fontId="3" fillId="5" borderId="27" xfId="1" applyNumberFormat="1" applyFont="1" applyFill="1" applyBorder="1" applyAlignment="1">
      <alignment vertical="center"/>
    </xf>
    <xf numFmtId="165" fontId="3" fillId="5" borderId="25" xfId="1" applyNumberFormat="1" applyFont="1" applyFill="1" applyBorder="1" applyAlignment="1">
      <alignment horizontal="center" vertical="center"/>
    </xf>
    <xf numFmtId="0" fontId="2" fillId="6" borderId="16" xfId="3" applyFont="1" applyFill="1" applyBorder="1" applyAlignment="1">
      <alignment vertical="center"/>
    </xf>
    <xf numFmtId="165" fontId="2" fillId="5" borderId="17" xfId="1" applyNumberFormat="1" applyFont="1" applyFill="1" applyBorder="1" applyAlignment="1">
      <alignment vertical="center"/>
    </xf>
    <xf numFmtId="165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3" applyFont="1" applyFill="1" applyAlignment="1">
      <alignment horizontal="center" vertical="center"/>
    </xf>
    <xf numFmtId="9" fontId="3" fillId="0" borderId="0" xfId="0" applyNumberFormat="1" applyFont="1" applyAlignment="1">
      <alignment vertical="center"/>
    </xf>
    <xf numFmtId="9" fontId="3" fillId="5" borderId="20" xfId="2" applyFont="1" applyFill="1" applyBorder="1" applyAlignment="1">
      <alignment vertical="center"/>
    </xf>
    <xf numFmtId="10" fontId="2" fillId="6" borderId="16" xfId="2" applyNumberFormat="1" applyFont="1" applyFill="1" applyBorder="1" applyAlignment="1">
      <alignment vertical="center"/>
    </xf>
    <xf numFmtId="0" fontId="3" fillId="4" borderId="14" xfId="3" applyFont="1" applyFill="1" applyBorder="1" applyAlignment="1">
      <alignment vertical="center"/>
    </xf>
    <xf numFmtId="15" fontId="6" fillId="8" borderId="16" xfId="4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4" borderId="28" xfId="3" applyFont="1" applyFill="1" applyBorder="1" applyAlignment="1">
      <alignment vertical="center"/>
    </xf>
    <xf numFmtId="0" fontId="3" fillId="4" borderId="22" xfId="3" applyFont="1" applyFill="1" applyBorder="1" applyAlignment="1">
      <alignment vertical="center"/>
    </xf>
    <xf numFmtId="3" fontId="3" fillId="5" borderId="22" xfId="4" applyNumberFormat="1" applyFont="1" applyBorder="1" applyAlignment="1">
      <alignment horizontal="center" vertical="center"/>
    </xf>
    <xf numFmtId="0" fontId="3" fillId="4" borderId="29" xfId="3" applyFont="1" applyFill="1" applyBorder="1" applyAlignment="1">
      <alignment vertical="center"/>
    </xf>
    <xf numFmtId="3" fontId="3" fillId="5" borderId="29" xfId="4" applyNumberFormat="1" applyFont="1" applyBorder="1" applyAlignment="1">
      <alignment horizontal="center" vertical="center"/>
    </xf>
    <xf numFmtId="0" fontId="2" fillId="4" borderId="1" xfId="3" applyFont="1" applyFill="1" applyBorder="1" applyAlignment="1">
      <alignment vertical="center"/>
    </xf>
    <xf numFmtId="0" fontId="3" fillId="6" borderId="3" xfId="3" applyFont="1" applyFill="1" applyBorder="1" applyAlignment="1">
      <alignment vertical="center"/>
    </xf>
    <xf numFmtId="165" fontId="3" fillId="5" borderId="4" xfId="1" applyNumberFormat="1" applyFont="1" applyFill="1" applyBorder="1" applyAlignment="1">
      <alignment horizontal="center" vertical="center"/>
    </xf>
    <xf numFmtId="0" fontId="3" fillId="6" borderId="5" xfId="3" applyFont="1" applyFill="1" applyBorder="1" applyAlignment="1">
      <alignment vertical="center"/>
    </xf>
    <xf numFmtId="0" fontId="3" fillId="6" borderId="7" xfId="3" applyFont="1" applyFill="1" applyBorder="1" applyAlignment="1">
      <alignment vertical="center"/>
    </xf>
    <xf numFmtId="0" fontId="3" fillId="6" borderId="30" xfId="4" applyFont="1" applyFill="1" applyBorder="1" applyAlignment="1">
      <alignment horizontal="center" vertical="center"/>
    </xf>
    <xf numFmtId="0" fontId="3" fillId="5" borderId="4" xfId="4" applyFont="1" applyBorder="1" applyAlignment="1">
      <alignment horizontal="right" vertical="center"/>
    </xf>
    <xf numFmtId="0" fontId="2" fillId="0" borderId="28" xfId="0" applyFont="1" applyBorder="1" applyAlignment="1">
      <alignment vertical="center"/>
    </xf>
    <xf numFmtId="0" fontId="7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7" fillId="0" borderId="29" xfId="0" applyFont="1" applyBorder="1" applyAlignment="1">
      <alignment vertical="center"/>
    </xf>
    <xf numFmtId="0" fontId="7" fillId="0" borderId="3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3" fillId="6" borderId="19" xfId="4" applyFont="1" applyFill="1" applyBorder="1" applyAlignment="1">
      <alignment horizontal="center" vertical="center"/>
    </xf>
    <xf numFmtId="9" fontId="2" fillId="0" borderId="20" xfId="2" applyFont="1" applyFill="1" applyBorder="1" applyAlignment="1">
      <alignment horizontal="center" vertical="center"/>
    </xf>
    <xf numFmtId="9" fontId="2" fillId="0" borderId="10" xfId="2" applyFont="1" applyFill="1" applyBorder="1" applyAlignment="1">
      <alignment horizontal="center" vertical="center"/>
    </xf>
    <xf numFmtId="9" fontId="2" fillId="0" borderId="4" xfId="2" applyFont="1" applyFill="1" applyBorder="1" applyAlignment="1">
      <alignment horizontal="center" vertical="center"/>
    </xf>
    <xf numFmtId="0" fontId="3" fillId="6" borderId="22" xfId="4" applyFont="1" applyFill="1" applyBorder="1" applyAlignment="1">
      <alignment horizontal="center" vertical="center"/>
    </xf>
    <xf numFmtId="9" fontId="2" fillId="0" borderId="23" xfId="2" applyFont="1" applyFill="1" applyBorder="1" applyAlignment="1">
      <alignment horizontal="center" vertical="center"/>
    </xf>
    <xf numFmtId="9" fontId="2" fillId="0" borderId="11" xfId="2" applyFont="1" applyFill="1" applyBorder="1" applyAlignment="1">
      <alignment horizontal="center" vertical="center"/>
    </xf>
    <xf numFmtId="9" fontId="2" fillId="0" borderId="6" xfId="2" applyFont="1" applyFill="1" applyBorder="1" applyAlignment="1">
      <alignment horizontal="center" vertical="center"/>
    </xf>
    <xf numFmtId="0" fontId="3" fillId="6" borderId="29" xfId="4" applyFont="1" applyFill="1" applyBorder="1" applyAlignment="1">
      <alignment horizontal="center" vertical="center"/>
    </xf>
    <xf numFmtId="9" fontId="2" fillId="0" borderId="35" xfId="2" applyFont="1" applyFill="1" applyBorder="1" applyAlignment="1">
      <alignment horizontal="center" vertical="center"/>
    </xf>
    <xf numFmtId="9" fontId="2" fillId="0" borderId="30" xfId="2" applyFont="1" applyFill="1" applyBorder="1" applyAlignment="1">
      <alignment horizontal="center" vertical="center"/>
    </xf>
    <xf numFmtId="9" fontId="2" fillId="0" borderId="8" xfId="2" applyNumberFormat="1" applyFont="1" applyFill="1" applyBorder="1" applyAlignment="1">
      <alignment horizontal="center" vertical="center"/>
    </xf>
    <xf numFmtId="0" fontId="3" fillId="5" borderId="20" xfId="4" applyNumberFormat="1" applyFont="1" applyBorder="1" applyAlignment="1">
      <alignment horizontal="center" vertical="center"/>
    </xf>
    <xf numFmtId="0" fontId="3" fillId="5" borderId="4" xfId="4" applyFont="1" applyBorder="1" applyAlignment="1">
      <alignment horizontal="center" vertical="center"/>
    </xf>
    <xf numFmtId="0" fontId="3" fillId="5" borderId="23" xfId="4" applyNumberFormat="1" applyFont="1" applyBorder="1" applyAlignment="1">
      <alignment horizontal="center" vertical="center"/>
    </xf>
    <xf numFmtId="0" fontId="3" fillId="5" borderId="6" xfId="4" applyFont="1" applyBorder="1" applyAlignment="1">
      <alignment horizontal="center" vertical="center"/>
    </xf>
    <xf numFmtId="0" fontId="3" fillId="5" borderId="35" xfId="4" applyNumberFormat="1" applyFont="1" applyBorder="1" applyAlignment="1">
      <alignment horizontal="center" vertical="center"/>
    </xf>
    <xf numFmtId="0" fontId="3" fillId="5" borderId="8" xfId="4" applyFont="1" applyBorder="1" applyAlignment="1">
      <alignment horizontal="center" vertical="center"/>
    </xf>
    <xf numFmtId="0" fontId="3" fillId="6" borderId="32" xfId="4" applyFont="1" applyFill="1" applyBorder="1" applyAlignment="1">
      <alignment horizontal="left" vertical="center"/>
    </xf>
    <xf numFmtId="0" fontId="3" fillId="6" borderId="36" xfId="4" applyFont="1" applyFill="1" applyBorder="1" applyAlignment="1">
      <alignment horizontal="center" vertical="center"/>
    </xf>
    <xf numFmtId="0" fontId="3" fillId="6" borderId="33" xfId="4" applyFont="1" applyFill="1" applyBorder="1" applyAlignment="1">
      <alignment horizontal="center" vertical="center"/>
    </xf>
    <xf numFmtId="0" fontId="3" fillId="5" borderId="28" xfId="4" applyFont="1" applyBorder="1" applyAlignment="1">
      <alignment horizontal="center" vertical="center"/>
    </xf>
    <xf numFmtId="0" fontId="3" fillId="6" borderId="5" xfId="4" applyFont="1" applyFill="1" applyBorder="1" applyAlignment="1">
      <alignment horizontal="left" vertical="center"/>
    </xf>
    <xf numFmtId="0" fontId="3" fillId="6" borderId="6" xfId="4" applyFont="1" applyFill="1" applyBorder="1" applyAlignment="1">
      <alignment horizontal="center" vertical="center"/>
    </xf>
    <xf numFmtId="0" fontId="3" fillId="5" borderId="22" xfId="4" applyFont="1" applyBorder="1" applyAlignment="1">
      <alignment horizontal="center" vertical="center"/>
    </xf>
    <xf numFmtId="0" fontId="3" fillId="6" borderId="7" xfId="4" applyFont="1" applyFill="1" applyBorder="1" applyAlignment="1">
      <alignment horizontal="left" vertical="center"/>
    </xf>
    <xf numFmtId="0" fontId="3" fillId="6" borderId="8" xfId="4" applyFont="1" applyFill="1" applyBorder="1" applyAlignment="1">
      <alignment horizontal="center" vertical="center"/>
    </xf>
    <xf numFmtId="0" fontId="3" fillId="6" borderId="28" xfId="4" applyFont="1" applyFill="1" applyBorder="1" applyAlignment="1">
      <alignment horizontal="left" vertical="center"/>
    </xf>
    <xf numFmtId="0" fontId="3" fillId="6" borderId="37" xfId="4" applyFont="1" applyFill="1" applyBorder="1" applyAlignment="1">
      <alignment horizontal="left" vertical="center"/>
    </xf>
    <xf numFmtId="0" fontId="3" fillId="6" borderId="38" xfId="4" applyFont="1" applyFill="1" applyBorder="1" applyAlignment="1">
      <alignment horizontal="left" vertical="center"/>
    </xf>
    <xf numFmtId="0" fontId="3" fillId="6" borderId="22" xfId="4" applyFont="1" applyFill="1" applyBorder="1" applyAlignment="1">
      <alignment horizontal="left" vertical="center"/>
    </xf>
    <xf numFmtId="0" fontId="3" fillId="6" borderId="23" xfId="4" applyFont="1" applyFill="1" applyBorder="1" applyAlignment="1">
      <alignment horizontal="left" vertical="center"/>
    </xf>
    <xf numFmtId="0" fontId="3" fillId="6" borderId="24" xfId="4" applyFont="1" applyFill="1" applyBorder="1" applyAlignment="1">
      <alignment horizontal="left" vertical="center"/>
    </xf>
    <xf numFmtId="0" fontId="3" fillId="6" borderId="29" xfId="4" applyFont="1" applyFill="1" applyBorder="1" applyAlignment="1">
      <alignment horizontal="left" vertical="center"/>
    </xf>
    <xf numFmtId="0" fontId="3" fillId="6" borderId="35" xfId="4" applyFont="1" applyFill="1" applyBorder="1" applyAlignment="1">
      <alignment horizontal="left" vertical="center"/>
    </xf>
    <xf numFmtId="0" fontId="3" fillId="6" borderId="39" xfId="4" applyFont="1" applyFill="1" applyBorder="1" applyAlignment="1">
      <alignment horizontal="left" vertical="center"/>
    </xf>
    <xf numFmtId="0" fontId="3" fillId="5" borderId="29" xfId="4" applyFont="1" applyBorder="1" applyAlignment="1">
      <alignment horizontal="center" vertical="center"/>
    </xf>
    <xf numFmtId="0" fontId="3" fillId="5" borderId="10" xfId="4" applyFont="1" applyBorder="1" applyAlignment="1">
      <alignment horizontal="center" vertical="center"/>
    </xf>
    <xf numFmtId="0" fontId="3" fillId="5" borderId="11" xfId="4" applyFont="1" applyBorder="1" applyAlignment="1">
      <alignment horizontal="center" vertical="center"/>
    </xf>
    <xf numFmtId="0" fontId="3" fillId="5" borderId="30" xfId="4" applyFont="1" applyBorder="1" applyAlignment="1">
      <alignment horizontal="center" vertical="center"/>
    </xf>
    <xf numFmtId="3" fontId="3" fillId="5" borderId="40" xfId="4" applyNumberFormat="1" applyFont="1" applyBorder="1" applyAlignment="1">
      <alignment horizontal="center" vertical="center"/>
    </xf>
    <xf numFmtId="0" fontId="3" fillId="5" borderId="20" xfId="4" applyFont="1" applyBorder="1" applyAlignment="1">
      <alignment horizontal="center" vertical="center"/>
    </xf>
    <xf numFmtId="0" fontId="3" fillId="5" borderId="23" xfId="4" applyFont="1" applyBorder="1" applyAlignment="1">
      <alignment horizontal="center" vertical="center"/>
    </xf>
    <xf numFmtId="0" fontId="3" fillId="5" borderId="35" xfId="4" applyFont="1" applyBorder="1" applyAlignment="1">
      <alignment horizontal="center" vertical="center"/>
    </xf>
    <xf numFmtId="0" fontId="3" fillId="6" borderId="4" xfId="4" applyFont="1" applyFill="1" applyBorder="1" applyAlignment="1">
      <alignment horizontal="center" vertical="center"/>
    </xf>
    <xf numFmtId="165" fontId="3" fillId="5" borderId="20" xfId="1" applyNumberFormat="1" applyFont="1" applyFill="1" applyBorder="1" applyAlignment="1">
      <alignment horizontal="right" vertical="center"/>
    </xf>
    <xf numFmtId="165" fontId="3" fillId="5" borderId="41" xfId="1" applyNumberFormat="1" applyFont="1" applyFill="1" applyBorder="1" applyAlignment="1">
      <alignment horizontal="right" vertical="center"/>
    </xf>
    <xf numFmtId="165" fontId="3" fillId="5" borderId="19" xfId="1" applyNumberFormat="1" applyFont="1" applyFill="1" applyBorder="1" applyAlignment="1">
      <alignment horizontal="right" vertical="center"/>
    </xf>
    <xf numFmtId="0" fontId="3" fillId="6" borderId="12" xfId="4" applyFont="1" applyFill="1" applyBorder="1" applyAlignment="1">
      <alignment horizontal="center" vertical="center"/>
    </xf>
    <xf numFmtId="0" fontId="3" fillId="6" borderId="42" xfId="4" applyFont="1" applyFill="1" applyBorder="1" applyAlignment="1">
      <alignment horizontal="center" vertical="center"/>
    </xf>
    <xf numFmtId="0" fontId="3" fillId="6" borderId="1" xfId="4" applyFont="1" applyFill="1" applyBorder="1" applyAlignment="1">
      <alignment horizontal="center" vertical="center"/>
    </xf>
    <xf numFmtId="0" fontId="3" fillId="6" borderId="2" xfId="4" applyFont="1" applyFill="1" applyBorder="1" applyAlignment="1">
      <alignment horizontal="center" vertical="center"/>
    </xf>
    <xf numFmtId="165" fontId="3" fillId="5" borderId="17" xfId="1" applyNumberFormat="1" applyFont="1" applyFill="1" applyBorder="1" applyAlignment="1">
      <alignment horizontal="right" vertical="center"/>
    </xf>
    <xf numFmtId="165" fontId="3" fillId="5" borderId="15" xfId="1" applyNumberFormat="1" applyFont="1" applyFill="1" applyBorder="1" applyAlignment="1">
      <alignment horizontal="right" vertical="center"/>
    </xf>
    <xf numFmtId="165" fontId="3" fillId="5" borderId="16" xfId="1" applyNumberFormat="1" applyFont="1" applyFill="1" applyBorder="1" applyAlignment="1">
      <alignment horizontal="right" vertical="center"/>
    </xf>
    <xf numFmtId="0" fontId="3" fillId="5" borderId="21" xfId="4" applyFont="1" applyBorder="1" applyAlignment="1">
      <alignment horizontal="center" vertical="center"/>
    </xf>
    <xf numFmtId="0" fontId="2" fillId="5" borderId="19" xfId="4" applyFont="1" applyBorder="1" applyAlignment="1">
      <alignment horizontal="center" vertical="center"/>
    </xf>
    <xf numFmtId="0" fontId="3" fillId="5" borderId="24" xfId="4" applyFont="1" applyBorder="1" applyAlignment="1">
      <alignment horizontal="center" vertical="center"/>
    </xf>
    <xf numFmtId="0" fontId="2" fillId="5" borderId="22" xfId="4" applyFont="1" applyBorder="1" applyAlignment="1">
      <alignment horizontal="center" vertical="center"/>
    </xf>
    <xf numFmtId="0" fontId="3" fillId="6" borderId="25" xfId="4" applyFont="1" applyFill="1" applyBorder="1" applyAlignment="1">
      <alignment horizontal="center" vertical="center"/>
    </xf>
    <xf numFmtId="0" fontId="3" fillId="5" borderId="26" xfId="4" applyFont="1" applyBorder="1" applyAlignment="1">
      <alignment horizontal="center" vertical="center"/>
    </xf>
    <xf numFmtId="0" fontId="3" fillId="5" borderId="13" xfId="4" applyFont="1" applyBorder="1" applyAlignment="1">
      <alignment horizontal="center" vertical="center"/>
    </xf>
    <xf numFmtId="0" fontId="3" fillId="5" borderId="27" xfId="4" applyFont="1" applyBorder="1" applyAlignment="1">
      <alignment horizontal="center" vertical="center"/>
    </xf>
    <xf numFmtId="0" fontId="2" fillId="5" borderId="25" xfId="4" applyFont="1" applyBorder="1" applyAlignment="1">
      <alignment horizontal="center" vertical="center"/>
    </xf>
    <xf numFmtId="0" fontId="2" fillId="6" borderId="16" xfId="4" applyFont="1" applyFill="1" applyBorder="1" applyAlignment="1">
      <alignment horizontal="center" vertical="center"/>
    </xf>
    <xf numFmtId="0" fontId="2" fillId="5" borderId="17" xfId="4" applyFont="1" applyBorder="1" applyAlignment="1">
      <alignment horizontal="center" vertical="center"/>
    </xf>
    <xf numFmtId="0" fontId="2" fillId="5" borderId="9" xfId="4" applyFont="1" applyBorder="1" applyAlignment="1">
      <alignment horizontal="center" vertical="center"/>
    </xf>
    <xf numFmtId="0" fontId="2" fillId="5" borderId="18" xfId="4" applyFont="1" applyBorder="1" applyAlignment="1">
      <alignment horizontal="center" vertical="center"/>
    </xf>
    <xf numFmtId="0" fontId="2" fillId="5" borderId="16" xfId="4" applyFont="1" applyBorder="1" applyAlignment="1">
      <alignment horizontal="center" vertical="center"/>
    </xf>
    <xf numFmtId="165" fontId="2" fillId="5" borderId="19" xfId="1" applyNumberFormat="1" applyFont="1" applyFill="1" applyBorder="1" applyAlignment="1">
      <alignment horizontal="right" vertical="center"/>
    </xf>
    <xf numFmtId="165" fontId="2" fillId="5" borderId="22" xfId="1" applyNumberFormat="1" applyFont="1" applyFill="1" applyBorder="1" applyAlignment="1">
      <alignment horizontal="right" vertical="center"/>
    </xf>
    <xf numFmtId="165" fontId="2" fillId="5" borderId="25" xfId="1" applyNumberFormat="1" applyFont="1" applyFill="1" applyBorder="1" applyAlignment="1">
      <alignment horizontal="right" vertical="center"/>
    </xf>
    <xf numFmtId="165" fontId="2" fillId="5" borderId="17" xfId="1" applyNumberFormat="1" applyFont="1" applyFill="1" applyBorder="1" applyAlignment="1">
      <alignment horizontal="center" vertical="center"/>
    </xf>
    <xf numFmtId="165" fontId="2" fillId="5" borderId="43" xfId="1" applyNumberFormat="1" applyFont="1" applyFill="1" applyBorder="1" applyAlignment="1">
      <alignment horizontal="right" vertical="center"/>
    </xf>
    <xf numFmtId="165" fontId="2" fillId="5" borderId="16" xfId="1" applyNumberFormat="1" applyFont="1" applyFill="1" applyBorder="1" applyAlignment="1">
      <alignment horizontal="right" vertical="center"/>
    </xf>
    <xf numFmtId="0" fontId="2" fillId="4" borderId="40" xfId="3" applyFont="1" applyFill="1" applyBorder="1" applyAlignment="1">
      <alignment horizontal="center" vertical="center"/>
    </xf>
    <xf numFmtId="0" fontId="3" fillId="5" borderId="44" xfId="4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4" borderId="45" xfId="3" applyFont="1" applyFill="1" applyBorder="1" applyAlignment="1">
      <alignment horizontal="center" vertical="center"/>
    </xf>
    <xf numFmtId="0" fontId="2" fillId="4" borderId="46" xfId="3" applyFont="1" applyFill="1" applyBorder="1" applyAlignment="1">
      <alignment horizontal="center" vertical="center"/>
    </xf>
    <xf numFmtId="0" fontId="3" fillId="6" borderId="21" xfId="4" applyFont="1" applyFill="1" applyBorder="1" applyAlignment="1">
      <alignment horizontal="center" vertical="center"/>
    </xf>
    <xf numFmtId="0" fontId="3" fillId="5" borderId="32" xfId="4" applyFont="1" applyBorder="1" applyAlignment="1">
      <alignment horizontal="center" vertical="center"/>
    </xf>
    <xf numFmtId="0" fontId="3" fillId="5" borderId="33" xfId="4" applyFont="1" applyBorder="1" applyAlignment="1">
      <alignment horizontal="center" vertical="center"/>
    </xf>
    <xf numFmtId="0" fontId="3" fillId="6" borderId="24" xfId="4" applyFont="1" applyFill="1" applyBorder="1" applyAlignment="1">
      <alignment horizontal="center" vertical="center"/>
    </xf>
    <xf numFmtId="0" fontId="3" fillId="5" borderId="5" xfId="4" applyFont="1" applyBorder="1" applyAlignment="1">
      <alignment horizontal="center" vertical="center"/>
    </xf>
    <xf numFmtId="0" fontId="3" fillId="6" borderId="39" xfId="4" applyFont="1" applyFill="1" applyBorder="1" applyAlignment="1">
      <alignment horizontal="center" vertical="center"/>
    </xf>
    <xf numFmtId="0" fontId="3" fillId="5" borderId="7" xfId="4" applyFont="1" applyBorder="1" applyAlignment="1">
      <alignment horizontal="center" vertical="center"/>
    </xf>
    <xf numFmtId="165" fontId="3" fillId="6" borderId="10" xfId="1" applyNumberFormat="1" applyFont="1" applyFill="1" applyBorder="1" applyAlignment="1">
      <alignment horizontal="center" vertical="center"/>
    </xf>
    <xf numFmtId="10" fontId="3" fillId="6" borderId="4" xfId="2" applyNumberFormat="1" applyFont="1" applyFill="1" applyBorder="1" applyAlignment="1">
      <alignment horizontal="center" vertical="center"/>
    </xf>
    <xf numFmtId="164" fontId="3" fillId="5" borderId="28" xfId="1" applyFont="1" applyFill="1" applyBorder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5" fontId="3" fillId="6" borderId="11" xfId="1" applyNumberFormat="1" applyFont="1" applyFill="1" applyBorder="1" applyAlignment="1">
      <alignment horizontal="center" vertical="center"/>
    </xf>
    <xf numFmtId="10" fontId="3" fillId="6" borderId="6" xfId="2" applyNumberFormat="1" applyFont="1" applyFill="1" applyBorder="1" applyAlignment="1">
      <alignment horizontal="center" vertical="center"/>
    </xf>
    <xf numFmtId="164" fontId="3" fillId="5" borderId="22" xfId="1" applyFont="1" applyFill="1" applyBorder="1" applyAlignment="1">
      <alignment vertical="center"/>
    </xf>
    <xf numFmtId="165" fontId="3" fillId="6" borderId="30" xfId="1" applyNumberFormat="1" applyFont="1" applyFill="1" applyBorder="1" applyAlignment="1">
      <alignment horizontal="center" vertical="center"/>
    </xf>
    <xf numFmtId="10" fontId="3" fillId="6" borderId="8" xfId="2" applyNumberFormat="1" applyFont="1" applyFill="1" applyBorder="1" applyAlignment="1">
      <alignment horizontal="center" vertical="center"/>
    </xf>
    <xf numFmtId="164" fontId="3" fillId="5" borderId="29" xfId="1" applyFont="1" applyFill="1" applyBorder="1" applyAlignment="1">
      <alignment vertical="center"/>
    </xf>
    <xf numFmtId="0" fontId="2" fillId="4" borderId="40" xfId="3" applyFont="1" applyFill="1" applyBorder="1" applyAlignment="1">
      <alignment horizontal="center" vertical="center" wrapText="1"/>
    </xf>
    <xf numFmtId="165" fontId="3" fillId="5" borderId="28" xfId="1" applyNumberFormat="1" applyFont="1" applyFill="1" applyBorder="1" applyAlignment="1">
      <alignment vertical="center"/>
    </xf>
    <xf numFmtId="166" fontId="3" fillId="0" borderId="0" xfId="0" applyNumberFormat="1" applyFont="1" applyAlignment="1">
      <alignment vertical="center"/>
    </xf>
    <xf numFmtId="165" fontId="3" fillId="5" borderId="22" xfId="1" applyNumberFormat="1" applyFont="1" applyFill="1" applyBorder="1" applyAlignment="1">
      <alignment vertical="center"/>
    </xf>
    <xf numFmtId="165" fontId="3" fillId="5" borderId="29" xfId="1" applyNumberFormat="1" applyFont="1" applyFill="1" applyBorder="1" applyAlignment="1">
      <alignment vertical="center"/>
    </xf>
    <xf numFmtId="165" fontId="3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8" fontId="3" fillId="0" borderId="0" xfId="0" applyNumberFormat="1" applyFont="1" applyAlignment="1">
      <alignment vertical="center"/>
    </xf>
    <xf numFmtId="168" fontId="3" fillId="5" borderId="28" xfId="4" applyNumberFormat="1" applyFont="1" applyBorder="1" applyAlignment="1">
      <alignment horizontal="center" vertical="center"/>
    </xf>
    <xf numFmtId="0" fontId="2" fillId="6" borderId="14" xfId="4" applyFont="1" applyFill="1" applyBorder="1" applyAlignment="1">
      <alignment horizontal="center" vertical="center"/>
    </xf>
    <xf numFmtId="0" fontId="2" fillId="6" borderId="40" xfId="4" applyFont="1" applyFill="1" applyBorder="1" applyAlignment="1">
      <alignment horizontal="center" vertical="center"/>
    </xf>
  </cellXfs>
  <cellStyles count="5">
    <cellStyle name="Comma" xfId="1" builtinId="3"/>
    <cellStyle name="GreyOrWhite" xfId="3" xr:uid="{00000000-0005-0000-0000-000001000000}"/>
    <cellStyle name="Normal" xfId="0" builtinId="0"/>
    <cellStyle name="Percent" xfId="2" builtinId="5"/>
    <cellStyle name="Yellow" xfId="4" xr:uid="{00000000-0005-0000-0000-000004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6"/>
  <sheetViews>
    <sheetView tabSelected="1" topLeftCell="A207" workbookViewId="0">
      <selection activeCell="D216" sqref="D216"/>
    </sheetView>
  </sheetViews>
  <sheetFormatPr defaultColWidth="8.28515625" defaultRowHeight="12.75" x14ac:dyDescent="0.25"/>
  <cols>
    <col min="1" max="1" width="8.28515625" style="4"/>
    <col min="2" max="2" width="19.140625" style="2" customWidth="1"/>
    <col min="3" max="3" width="13.5703125" style="2" customWidth="1"/>
    <col min="4" max="4" width="15.7109375" style="2" bestFit="1" customWidth="1"/>
    <col min="5" max="5" width="22.42578125" style="2" customWidth="1"/>
    <col min="6" max="6" width="11.85546875" style="2" customWidth="1"/>
    <col min="7" max="7" width="11.85546875" style="3" customWidth="1"/>
    <col min="8" max="9" width="11.85546875" style="2" customWidth="1"/>
    <col min="10" max="10" width="10.85546875" style="2" customWidth="1"/>
    <col min="11" max="12" width="10.85546875" style="13" customWidth="1"/>
    <col min="13" max="13" width="19.140625" style="14" customWidth="1"/>
    <col min="14" max="14" width="10.85546875" style="13" customWidth="1"/>
    <col min="15" max="20" width="10.85546875" style="2" customWidth="1"/>
    <col min="21" max="16384" width="8.28515625" style="2"/>
  </cols>
  <sheetData>
    <row r="1" spans="1:15" x14ac:dyDescent="0.25">
      <c r="A1" s="1" t="s">
        <v>0</v>
      </c>
      <c r="B1" s="2" t="s">
        <v>1</v>
      </c>
      <c r="K1" s="2"/>
      <c r="L1" s="2"/>
      <c r="M1" s="2"/>
      <c r="N1" s="2"/>
    </row>
    <row r="2" spans="1:15" ht="13.5" thickBot="1" x14ac:dyDescent="0.3">
      <c r="K2" s="2"/>
      <c r="L2" s="2"/>
      <c r="M2" s="2"/>
      <c r="N2" s="2"/>
    </row>
    <row r="3" spans="1:15" ht="13.5" thickBot="1" x14ac:dyDescent="0.3">
      <c r="A3" s="2"/>
      <c r="B3" s="4"/>
      <c r="C3" s="5" t="s">
        <v>2</v>
      </c>
      <c r="D3" s="6" t="s">
        <v>3</v>
      </c>
      <c r="G3" s="2"/>
      <c r="H3" s="3"/>
      <c r="K3" s="2"/>
      <c r="L3" s="2"/>
      <c r="M3" s="2"/>
      <c r="N3" s="2"/>
    </row>
    <row r="4" spans="1:15" x14ac:dyDescent="0.25">
      <c r="A4" s="2"/>
      <c r="B4" s="4"/>
      <c r="C4" s="7" t="s">
        <v>4</v>
      </c>
      <c r="D4" s="8">
        <v>0.1</v>
      </c>
      <c r="G4" s="2"/>
      <c r="H4" s="3"/>
      <c r="K4" s="2"/>
      <c r="L4" s="2"/>
      <c r="M4" s="2"/>
      <c r="N4" s="2"/>
    </row>
    <row r="5" spans="1:15" x14ac:dyDescent="0.25">
      <c r="A5" s="2"/>
      <c r="B5" s="4"/>
      <c r="C5" s="9" t="s">
        <v>5</v>
      </c>
      <c r="D5" s="10">
        <v>0.15</v>
      </c>
      <c r="G5" s="2"/>
      <c r="H5" s="3"/>
      <c r="K5" s="2"/>
      <c r="L5" s="2"/>
      <c r="M5" s="2"/>
      <c r="N5" s="2"/>
    </row>
    <row r="6" spans="1:15" ht="13.5" thickBot="1" x14ac:dyDescent="0.3">
      <c r="A6" s="2"/>
      <c r="B6" s="4"/>
      <c r="C6" s="11" t="s">
        <v>6</v>
      </c>
      <c r="D6" s="12">
        <v>0.2</v>
      </c>
      <c r="G6" s="2"/>
      <c r="H6" s="3"/>
      <c r="K6" s="2"/>
      <c r="L6" s="2"/>
      <c r="M6" s="2"/>
      <c r="N6" s="2"/>
    </row>
    <row r="7" spans="1:15" ht="13.5" thickBot="1" x14ac:dyDescent="0.3">
      <c r="A7" s="2"/>
      <c r="B7" s="4"/>
      <c r="G7" s="2"/>
      <c r="H7" s="3"/>
      <c r="K7" s="2"/>
      <c r="M7" s="13"/>
      <c r="N7" s="14"/>
      <c r="O7" s="13"/>
    </row>
    <row r="8" spans="1:15" ht="13.5" thickBot="1" x14ac:dyDescent="0.3">
      <c r="A8" s="2"/>
      <c r="B8" s="4"/>
      <c r="C8" s="5" t="s">
        <v>7</v>
      </c>
      <c r="D8" s="15" t="s">
        <v>2</v>
      </c>
      <c r="E8" s="15" t="s">
        <v>8</v>
      </c>
      <c r="F8" s="6" t="s">
        <v>9</v>
      </c>
      <c r="G8" s="2"/>
      <c r="H8" s="3"/>
      <c r="K8" s="2"/>
      <c r="M8" s="13"/>
      <c r="N8" s="14"/>
      <c r="O8" s="13"/>
    </row>
    <row r="9" spans="1:15" x14ac:dyDescent="0.25">
      <c r="A9" s="2"/>
      <c r="B9" s="4"/>
      <c r="C9" s="16" t="s">
        <v>10</v>
      </c>
      <c r="D9" s="17" t="s">
        <v>4</v>
      </c>
      <c r="E9" s="18">
        <v>10000</v>
      </c>
      <c r="F9" s="19">
        <f>_xlfn.IFS(D9="A",E9*10%,D9="B",E9*15%,D9="C",E9*20%)</f>
        <v>1000</v>
      </c>
      <c r="G9" s="2"/>
      <c r="H9" s="3"/>
      <c r="K9" s="2"/>
      <c r="M9" s="13"/>
      <c r="N9" s="14"/>
      <c r="O9" s="13"/>
    </row>
    <row r="10" spans="1:15" x14ac:dyDescent="0.25">
      <c r="A10" s="2"/>
      <c r="B10" s="4"/>
      <c r="C10" s="20" t="s">
        <v>11</v>
      </c>
      <c r="D10" s="21" t="s">
        <v>5</v>
      </c>
      <c r="E10" s="22">
        <v>20000</v>
      </c>
      <c r="F10" s="19">
        <f t="shared" ref="F10:F14" si="0">_xlfn.IFS(D10="A",E10*10%,D10="B",E10*15%,D10="C",E10*20%)</f>
        <v>3000</v>
      </c>
      <c r="G10" s="2"/>
      <c r="H10" s="3"/>
      <c r="K10" s="2"/>
      <c r="M10" s="13"/>
      <c r="N10" s="14"/>
      <c r="O10" s="13"/>
    </row>
    <row r="11" spans="1:15" x14ac:dyDescent="0.25">
      <c r="A11" s="2"/>
      <c r="B11" s="4"/>
      <c r="C11" s="20" t="s">
        <v>12</v>
      </c>
      <c r="D11" s="21" t="s">
        <v>6</v>
      </c>
      <c r="E11" s="22">
        <v>30000</v>
      </c>
      <c r="F11" s="19">
        <f t="shared" si="0"/>
        <v>6000</v>
      </c>
      <c r="G11" s="2"/>
      <c r="H11" s="3"/>
      <c r="K11" s="2"/>
      <c r="M11" s="13"/>
      <c r="N11" s="14"/>
      <c r="O11" s="13"/>
    </row>
    <row r="12" spans="1:15" x14ac:dyDescent="0.25">
      <c r="A12" s="2"/>
      <c r="B12" s="4"/>
      <c r="C12" s="20" t="s">
        <v>13</v>
      </c>
      <c r="D12" s="21" t="s">
        <v>5</v>
      </c>
      <c r="E12" s="22">
        <v>25000</v>
      </c>
      <c r="F12" s="19">
        <f t="shared" si="0"/>
        <v>3750</v>
      </c>
      <c r="G12" s="2"/>
      <c r="H12" s="3"/>
      <c r="K12" s="2"/>
      <c r="M12" s="13"/>
      <c r="N12" s="14"/>
      <c r="O12" s="13"/>
    </row>
    <row r="13" spans="1:15" x14ac:dyDescent="0.25">
      <c r="A13" s="2"/>
      <c r="B13" s="4"/>
      <c r="C13" s="20" t="s">
        <v>14</v>
      </c>
      <c r="D13" s="21" t="s">
        <v>6</v>
      </c>
      <c r="E13" s="22">
        <v>32000</v>
      </c>
      <c r="F13" s="19">
        <f t="shared" si="0"/>
        <v>6400</v>
      </c>
      <c r="G13" s="2"/>
      <c r="H13" s="3"/>
      <c r="K13" s="2"/>
      <c r="M13" s="13"/>
      <c r="N13" s="14"/>
      <c r="O13" s="13"/>
    </row>
    <row r="14" spans="1:15" ht="13.5" thickBot="1" x14ac:dyDescent="0.3">
      <c r="A14" s="2"/>
      <c r="B14" s="4"/>
      <c r="C14" s="23" t="s">
        <v>15</v>
      </c>
      <c r="D14" s="24" t="s">
        <v>4</v>
      </c>
      <c r="E14" s="25">
        <v>12000</v>
      </c>
      <c r="F14" s="19">
        <f t="shared" si="0"/>
        <v>1200</v>
      </c>
      <c r="G14" s="2"/>
      <c r="H14" s="3"/>
      <c r="K14" s="2"/>
      <c r="M14" s="13"/>
      <c r="N14" s="14"/>
      <c r="O14" s="13"/>
    </row>
    <row r="15" spans="1:15" ht="13.5" thickBot="1" x14ac:dyDescent="0.3">
      <c r="A15" s="2"/>
      <c r="B15" s="4"/>
      <c r="C15" s="26" t="s">
        <v>16</v>
      </c>
      <c r="D15" s="27" t="s">
        <v>17</v>
      </c>
      <c r="E15" s="28"/>
      <c r="F15" s="29">
        <f>SUM(F9:F14)</f>
        <v>21350</v>
      </c>
      <c r="G15" s="2"/>
      <c r="H15" s="3"/>
      <c r="K15" s="2"/>
      <c r="M15" s="13"/>
      <c r="N15" s="14"/>
      <c r="O15" s="13"/>
    </row>
    <row r="17" spans="1:15" x14ac:dyDescent="0.25">
      <c r="A17" s="1" t="s">
        <v>18</v>
      </c>
      <c r="B17" s="30" t="s">
        <v>19</v>
      </c>
      <c r="C17" s="30"/>
      <c r="D17" s="30"/>
      <c r="E17" s="30"/>
      <c r="F17" s="30"/>
    </row>
    <row r="18" spans="1:15" x14ac:dyDescent="0.25">
      <c r="B18" s="31"/>
      <c r="C18" s="30"/>
      <c r="D18" s="30"/>
      <c r="E18" s="30"/>
      <c r="F18" s="30"/>
    </row>
    <row r="19" spans="1:15" ht="13.5" thickBot="1" x14ac:dyDescent="0.3">
      <c r="A19" s="2"/>
      <c r="B19" s="4"/>
      <c r="C19" s="31"/>
      <c r="D19" s="30"/>
      <c r="E19" s="30"/>
      <c r="F19" s="30"/>
      <c r="G19" s="30"/>
      <c r="H19" s="3"/>
      <c r="K19" s="2"/>
      <c r="M19" s="13"/>
      <c r="N19" s="14"/>
      <c r="O19" s="13"/>
    </row>
    <row r="20" spans="1:15" ht="13.5" thickBot="1" x14ac:dyDescent="0.3">
      <c r="A20" s="2"/>
      <c r="B20" s="4"/>
      <c r="C20" s="32" t="s">
        <v>20</v>
      </c>
      <c r="D20" s="33"/>
      <c r="E20" s="34">
        <v>100000</v>
      </c>
      <c r="F20" s="30"/>
      <c r="G20" s="30"/>
      <c r="H20" s="3"/>
      <c r="K20" s="2"/>
      <c r="M20" s="13"/>
      <c r="N20" s="14"/>
      <c r="O20" s="13"/>
    </row>
    <row r="21" spans="1:15" ht="13.5" thickBot="1" x14ac:dyDescent="0.3">
      <c r="A21" s="2"/>
      <c r="B21" s="4"/>
      <c r="C21" s="31"/>
      <c r="D21" s="30"/>
      <c r="E21" s="30"/>
      <c r="F21" s="30"/>
      <c r="G21" s="30"/>
      <c r="H21" s="3"/>
      <c r="K21" s="2"/>
      <c r="M21" s="13"/>
      <c r="N21" s="14"/>
      <c r="O21" s="13"/>
    </row>
    <row r="22" spans="1:15" ht="13.5" thickBot="1" x14ac:dyDescent="0.3">
      <c r="A22" s="2"/>
      <c r="B22" s="4"/>
      <c r="C22" s="35" t="s">
        <v>21</v>
      </c>
      <c r="D22" s="36" t="s">
        <v>22</v>
      </c>
      <c r="E22" s="15" t="s">
        <v>23</v>
      </c>
      <c r="F22" s="15" t="s">
        <v>24</v>
      </c>
      <c r="G22" s="37" t="s">
        <v>25</v>
      </c>
      <c r="H22" s="38" t="s">
        <v>16</v>
      </c>
      <c r="K22" s="2"/>
      <c r="M22" s="13"/>
      <c r="N22" s="14"/>
      <c r="O22" s="13"/>
    </row>
    <row r="23" spans="1:15" x14ac:dyDescent="0.25">
      <c r="A23" s="2"/>
      <c r="B23" s="4"/>
      <c r="C23" s="39" t="s">
        <v>26</v>
      </c>
      <c r="D23" s="40">
        <v>9000</v>
      </c>
      <c r="E23" s="41">
        <v>2000</v>
      </c>
      <c r="F23" s="41">
        <v>9000</v>
      </c>
      <c r="G23" s="42">
        <v>7000</v>
      </c>
      <c r="H23" s="43">
        <f>SUM(D23:G23)</f>
        <v>27000</v>
      </c>
      <c r="I23" s="44"/>
      <c r="K23" s="2"/>
      <c r="M23" s="13"/>
      <c r="N23" s="14"/>
      <c r="O23" s="13"/>
    </row>
    <row r="24" spans="1:15" x14ac:dyDescent="0.25">
      <c r="A24" s="2"/>
      <c r="B24" s="4"/>
      <c r="C24" s="45" t="s">
        <v>27</v>
      </c>
      <c r="D24" s="46">
        <v>7000</v>
      </c>
      <c r="E24" s="47">
        <v>4000</v>
      </c>
      <c r="F24" s="47">
        <v>9000</v>
      </c>
      <c r="G24" s="48">
        <v>5000</v>
      </c>
      <c r="H24" s="49">
        <f t="shared" ref="H24:H26" si="1">SUM(D24:G24)</f>
        <v>25000</v>
      </c>
      <c r="I24" s="44"/>
      <c r="K24" s="50"/>
      <c r="M24" s="13"/>
      <c r="N24" s="14"/>
      <c r="O24" s="13"/>
    </row>
    <row r="25" spans="1:15" x14ac:dyDescent="0.25">
      <c r="A25" s="2"/>
      <c r="B25" s="4"/>
      <c r="C25" s="45" t="s">
        <v>28</v>
      </c>
      <c r="D25" s="46">
        <v>2000</v>
      </c>
      <c r="E25" s="47">
        <v>8000</v>
      </c>
      <c r="F25" s="47">
        <v>7000</v>
      </c>
      <c r="G25" s="48">
        <v>3000</v>
      </c>
      <c r="H25" s="49">
        <f t="shared" si="1"/>
        <v>20000</v>
      </c>
      <c r="I25" s="44"/>
      <c r="K25" s="51"/>
      <c r="M25" s="13"/>
      <c r="N25" s="14"/>
      <c r="O25" s="13"/>
    </row>
    <row r="26" spans="1:15" ht="13.5" thickBot="1" x14ac:dyDescent="0.3">
      <c r="A26" s="2"/>
      <c r="B26" s="4"/>
      <c r="C26" s="52" t="s">
        <v>29</v>
      </c>
      <c r="D26" s="53">
        <v>8000</v>
      </c>
      <c r="E26" s="54">
        <v>9000</v>
      </c>
      <c r="F26" s="54">
        <v>6000</v>
      </c>
      <c r="G26" s="55">
        <v>5000</v>
      </c>
      <c r="H26" s="56">
        <f t="shared" si="1"/>
        <v>28000</v>
      </c>
      <c r="I26" s="44"/>
      <c r="K26" s="2"/>
      <c r="M26" s="13"/>
      <c r="N26" s="14"/>
      <c r="O26" s="13"/>
    </row>
    <row r="27" spans="1:15" ht="13.5" thickBot="1" x14ac:dyDescent="0.3">
      <c r="A27" s="2"/>
      <c r="B27" s="4"/>
      <c r="C27" s="57" t="s">
        <v>30</v>
      </c>
      <c r="D27" s="58">
        <f>SUM(D23:D26)</f>
        <v>26000</v>
      </c>
      <c r="E27" s="58">
        <f t="shared" ref="E27:H27" si="2">SUM(E23:E26)</f>
        <v>23000</v>
      </c>
      <c r="F27" s="58">
        <f t="shared" si="2"/>
        <v>31000</v>
      </c>
      <c r="G27" s="58">
        <f t="shared" si="2"/>
        <v>20000</v>
      </c>
      <c r="H27" s="58">
        <f t="shared" si="2"/>
        <v>100000</v>
      </c>
      <c r="K27" s="2"/>
      <c r="M27" s="13"/>
      <c r="N27" s="14"/>
      <c r="O27" s="13"/>
    </row>
    <row r="28" spans="1:15" ht="13.5" thickBot="1" x14ac:dyDescent="0.3">
      <c r="A28" s="2"/>
      <c r="B28" s="4"/>
      <c r="G28" s="2"/>
      <c r="H28" s="3"/>
      <c r="K28" s="2"/>
      <c r="L28" s="2"/>
      <c r="M28" s="2"/>
      <c r="N28" s="14"/>
      <c r="O28" s="13"/>
    </row>
    <row r="29" spans="1:15" ht="13.5" thickBot="1" x14ac:dyDescent="0.3">
      <c r="A29" s="2"/>
      <c r="B29" s="4"/>
      <c r="C29" s="32" t="s">
        <v>31</v>
      </c>
      <c r="D29" s="33"/>
      <c r="E29" s="34">
        <v>155400</v>
      </c>
      <c r="G29" s="59"/>
      <c r="H29" s="60"/>
      <c r="K29" s="2"/>
      <c r="M29" s="13"/>
      <c r="N29" s="14"/>
      <c r="O29" s="13"/>
    </row>
    <row r="30" spans="1:15" x14ac:dyDescent="0.25">
      <c r="A30" s="2"/>
      <c r="B30" s="4"/>
      <c r="G30" s="59"/>
      <c r="H30" s="60"/>
      <c r="K30" s="2"/>
      <c r="M30" s="13"/>
      <c r="N30" s="14"/>
      <c r="O30" s="13"/>
    </row>
    <row r="31" spans="1:15" ht="13.5" thickBot="1" x14ac:dyDescent="0.3">
      <c r="A31" s="2"/>
      <c r="B31" s="4"/>
      <c r="C31" s="31" t="s">
        <v>32</v>
      </c>
      <c r="D31" s="30"/>
      <c r="E31" s="30"/>
      <c r="F31" s="30"/>
      <c r="G31" s="30"/>
      <c r="H31" s="61"/>
      <c r="K31" s="51"/>
      <c r="M31" s="13"/>
      <c r="N31" s="14"/>
      <c r="O31" s="13"/>
    </row>
    <row r="32" spans="1:15" ht="13.5" thickBot="1" x14ac:dyDescent="0.3">
      <c r="A32" s="2"/>
      <c r="B32" s="4"/>
      <c r="C32" s="35" t="s">
        <v>21</v>
      </c>
      <c r="D32" s="36" t="s">
        <v>22</v>
      </c>
      <c r="E32" s="15" t="s">
        <v>23</v>
      </c>
      <c r="F32" s="15" t="s">
        <v>24</v>
      </c>
      <c r="G32" s="37" t="s">
        <v>25</v>
      </c>
      <c r="H32" s="38" t="s">
        <v>16</v>
      </c>
      <c r="K32" s="62"/>
      <c r="M32" s="13"/>
      <c r="N32" s="14"/>
      <c r="O32" s="13"/>
    </row>
    <row r="33" spans="1:15" x14ac:dyDescent="0.25">
      <c r="A33" s="2"/>
      <c r="B33" s="4"/>
      <c r="C33" s="39" t="s">
        <v>26</v>
      </c>
      <c r="D33" s="40"/>
      <c r="E33" s="40"/>
      <c r="F33" s="40"/>
      <c r="G33" s="40"/>
      <c r="H33" s="40"/>
      <c r="K33" s="50"/>
      <c r="M33" s="13"/>
      <c r="N33" s="14"/>
      <c r="O33" s="13"/>
    </row>
    <row r="34" spans="1:15" x14ac:dyDescent="0.25">
      <c r="A34" s="2"/>
      <c r="B34" s="4"/>
      <c r="C34" s="45" t="s">
        <v>27</v>
      </c>
      <c r="D34" s="40"/>
      <c r="E34" s="40"/>
      <c r="F34" s="40"/>
      <c r="G34" s="40"/>
      <c r="H34" s="40"/>
      <c r="K34" s="2"/>
      <c r="M34" s="13"/>
      <c r="N34" s="14"/>
      <c r="O34" s="13"/>
    </row>
    <row r="35" spans="1:15" x14ac:dyDescent="0.25">
      <c r="A35" s="2"/>
      <c r="B35" s="4"/>
      <c r="C35" s="45" t="s">
        <v>28</v>
      </c>
      <c r="D35" s="40"/>
      <c r="E35" s="40"/>
      <c r="F35" s="40"/>
      <c r="G35" s="40"/>
      <c r="H35" s="40"/>
      <c r="K35" s="2"/>
      <c r="M35" s="13"/>
      <c r="N35" s="14"/>
      <c r="O35" s="13"/>
    </row>
    <row r="36" spans="1:15" ht="13.5" thickBot="1" x14ac:dyDescent="0.3">
      <c r="A36" s="2"/>
      <c r="B36" s="4"/>
      <c r="C36" s="52" t="s">
        <v>29</v>
      </c>
      <c r="D36" s="40"/>
      <c r="E36" s="40"/>
      <c r="F36" s="40"/>
      <c r="G36" s="40"/>
      <c r="H36" s="40"/>
      <c r="K36" s="2"/>
      <c r="M36" s="13"/>
      <c r="N36" s="14"/>
      <c r="O36" s="13"/>
    </row>
    <row r="37" spans="1:15" ht="13.5" thickBot="1" x14ac:dyDescent="0.3">
      <c r="A37" s="2"/>
      <c r="B37" s="4"/>
      <c r="C37" s="57" t="s">
        <v>30</v>
      </c>
      <c r="D37" s="58"/>
      <c r="E37" s="58"/>
      <c r="F37" s="58"/>
      <c r="G37" s="58"/>
      <c r="H37" s="58"/>
      <c r="K37" s="2"/>
      <c r="M37" s="13"/>
      <c r="N37" s="14"/>
      <c r="O37" s="13"/>
    </row>
    <row r="38" spans="1:15" x14ac:dyDescent="0.25">
      <c r="A38" s="2"/>
      <c r="B38" s="4"/>
      <c r="G38" s="2"/>
      <c r="H38" s="3"/>
      <c r="K38" s="2"/>
      <c r="M38" s="13"/>
      <c r="N38" s="14"/>
      <c r="O38" s="13"/>
    </row>
    <row r="40" spans="1:15" ht="13.5" thickBot="1" x14ac:dyDescent="0.3">
      <c r="A40" s="2"/>
      <c r="B40" s="4"/>
      <c r="C40" s="31" t="s">
        <v>33</v>
      </c>
      <c r="D40" s="30"/>
      <c r="E40" s="30"/>
      <c r="F40" s="30"/>
      <c r="G40" s="30"/>
      <c r="H40" s="61"/>
      <c r="K40" s="2"/>
      <c r="M40" s="13"/>
      <c r="N40" s="14"/>
      <c r="O40" s="13"/>
    </row>
    <row r="41" spans="1:15" ht="13.5" thickBot="1" x14ac:dyDescent="0.3">
      <c r="A41" s="2"/>
      <c r="B41" s="4"/>
      <c r="C41" s="35" t="s">
        <v>21</v>
      </c>
      <c r="D41" s="36" t="s">
        <v>22</v>
      </c>
      <c r="E41" s="15" t="s">
        <v>23</v>
      </c>
      <c r="F41" s="15" t="s">
        <v>24</v>
      </c>
      <c r="G41" s="37" t="s">
        <v>25</v>
      </c>
      <c r="H41" s="38" t="s">
        <v>16</v>
      </c>
      <c r="K41" s="2"/>
      <c r="M41" s="13"/>
      <c r="N41" s="14"/>
      <c r="O41" s="13"/>
    </row>
    <row r="42" spans="1:15" x14ac:dyDescent="0.25">
      <c r="A42" s="2"/>
      <c r="B42" s="4"/>
      <c r="C42" s="39" t="s">
        <v>26</v>
      </c>
      <c r="D42" s="63"/>
      <c r="E42" s="63"/>
      <c r="F42" s="63"/>
      <c r="G42" s="63"/>
      <c r="H42" s="63"/>
      <c r="K42" s="2"/>
      <c r="M42" s="13"/>
      <c r="N42" s="14"/>
      <c r="O42" s="13"/>
    </row>
    <row r="43" spans="1:15" x14ac:dyDescent="0.25">
      <c r="A43" s="2"/>
      <c r="B43" s="4"/>
      <c r="C43" s="45" t="s">
        <v>27</v>
      </c>
      <c r="D43" s="63"/>
      <c r="E43" s="63"/>
      <c r="F43" s="63"/>
      <c r="G43" s="63"/>
      <c r="H43" s="63"/>
      <c r="K43" s="2"/>
      <c r="M43" s="13"/>
      <c r="N43" s="14"/>
      <c r="O43" s="13"/>
    </row>
    <row r="44" spans="1:15" x14ac:dyDescent="0.25">
      <c r="A44" s="2"/>
      <c r="B44" s="4"/>
      <c r="C44" s="45" t="s">
        <v>28</v>
      </c>
      <c r="D44" s="63"/>
      <c r="E44" s="63"/>
      <c r="F44" s="63"/>
      <c r="G44" s="63"/>
      <c r="H44" s="63"/>
      <c r="K44" s="2"/>
      <c r="M44" s="13"/>
      <c r="N44" s="14"/>
      <c r="O44" s="13"/>
    </row>
    <row r="45" spans="1:15" ht="13.5" thickBot="1" x14ac:dyDescent="0.3">
      <c r="A45" s="2"/>
      <c r="B45" s="4"/>
      <c r="C45" s="52" t="s">
        <v>29</v>
      </c>
      <c r="D45" s="63"/>
      <c r="E45" s="63"/>
      <c r="F45" s="63"/>
      <c r="G45" s="63"/>
      <c r="H45" s="63"/>
      <c r="K45" s="2"/>
      <c r="M45" s="13"/>
      <c r="N45" s="14"/>
      <c r="O45" s="13"/>
    </row>
    <row r="46" spans="1:15" ht="13.5" thickBot="1" x14ac:dyDescent="0.3">
      <c r="A46" s="2"/>
      <c r="B46" s="4"/>
      <c r="C46" s="57" t="s">
        <v>30</v>
      </c>
      <c r="D46" s="64"/>
      <c r="E46" s="64"/>
      <c r="F46" s="64"/>
      <c r="G46" s="64"/>
      <c r="H46" s="64"/>
      <c r="K46" s="2"/>
      <c r="M46" s="13"/>
      <c r="N46" s="14"/>
      <c r="O46" s="13"/>
    </row>
    <row r="49" spans="1:15" x14ac:dyDescent="0.25">
      <c r="A49" s="1" t="s">
        <v>34</v>
      </c>
      <c r="B49" s="2" t="s">
        <v>35</v>
      </c>
    </row>
    <row r="51" spans="1:15" ht="13.5" thickBot="1" x14ac:dyDescent="0.3">
      <c r="A51" s="2"/>
      <c r="B51" s="4"/>
      <c r="C51" s="65" t="s">
        <v>36</v>
      </c>
      <c r="D51" s="66">
        <v>33844</v>
      </c>
      <c r="E51" s="203"/>
      <c r="F51" s="68"/>
      <c r="G51" s="2"/>
      <c r="H51" s="3"/>
      <c r="K51" s="2"/>
      <c r="M51" s="13"/>
      <c r="N51" s="14"/>
      <c r="O51" s="13"/>
    </row>
    <row r="52" spans="1:15" ht="13.5" thickBot="1" x14ac:dyDescent="0.3">
      <c r="A52" s="2"/>
      <c r="B52" s="4"/>
      <c r="E52" s="67"/>
      <c r="F52" s="67"/>
      <c r="G52" s="2"/>
      <c r="H52" s="3"/>
      <c r="K52" s="2"/>
      <c r="M52" s="13"/>
      <c r="N52" s="14"/>
      <c r="O52" s="13"/>
    </row>
    <row r="53" spans="1:15" x14ac:dyDescent="0.25">
      <c r="A53" s="2"/>
      <c r="B53" s="4"/>
      <c r="C53" s="69" t="s">
        <v>37</v>
      </c>
      <c r="D53" s="204" t="str">
        <f ca="1">DATEDIF(D51, TODAY(), "Y") &amp; " Years"</f>
        <v>33 Years</v>
      </c>
      <c r="G53" s="2"/>
      <c r="H53" s="3"/>
      <c r="K53" s="2"/>
      <c r="M53" s="13"/>
      <c r="N53" s="14"/>
      <c r="O53" s="13"/>
    </row>
    <row r="54" spans="1:15" x14ac:dyDescent="0.25">
      <c r="A54" s="2"/>
      <c r="B54" s="4"/>
      <c r="C54" s="70" t="s">
        <v>38</v>
      </c>
      <c r="D54" s="71" t="str">
        <f ca="1">DATEDIF(D51, TODAY(), "M") &amp; " Month"</f>
        <v>407 Month</v>
      </c>
      <c r="G54" s="2"/>
      <c r="H54" s="3"/>
      <c r="K54" s="2"/>
      <c r="M54" s="13"/>
      <c r="N54" s="14"/>
      <c r="O54" s="13"/>
    </row>
    <row r="55" spans="1:15" ht="13.5" thickBot="1" x14ac:dyDescent="0.3">
      <c r="A55" s="2"/>
      <c r="B55" s="4"/>
      <c r="C55" s="72" t="s">
        <v>39</v>
      </c>
      <c r="D55" s="73" t="str">
        <f ca="1">DATEDIF(D51, TODAY(), "D") &amp; " Day"</f>
        <v>12393 Day</v>
      </c>
      <c r="G55" s="2"/>
      <c r="H55" s="3"/>
      <c r="K55" s="2"/>
      <c r="M55" s="13"/>
      <c r="N55" s="14"/>
      <c r="O55" s="13"/>
    </row>
    <row r="56" spans="1:15" x14ac:dyDescent="0.25">
      <c r="A56" s="2"/>
      <c r="B56" s="4"/>
      <c r="G56" s="2"/>
      <c r="H56" s="3"/>
      <c r="K56" s="2"/>
      <c r="M56" s="13"/>
      <c r="N56" s="14"/>
      <c r="O56" s="13"/>
    </row>
    <row r="58" spans="1:15" x14ac:dyDescent="0.25">
      <c r="A58" s="1" t="s">
        <v>40</v>
      </c>
      <c r="B58" s="2" t="s">
        <v>41</v>
      </c>
    </row>
    <row r="60" spans="1:15" ht="13.5" thickBot="1" x14ac:dyDescent="0.3">
      <c r="A60" s="2"/>
      <c r="B60" s="4"/>
      <c r="C60" s="74" t="s">
        <v>42</v>
      </c>
      <c r="D60" s="15" t="s">
        <v>43</v>
      </c>
      <c r="E60" s="15" t="s">
        <v>44</v>
      </c>
      <c r="F60" s="15" t="s">
        <v>45</v>
      </c>
      <c r="G60" s="15" t="s">
        <v>46</v>
      </c>
      <c r="H60" s="15" t="s">
        <v>47</v>
      </c>
      <c r="I60" s="15" t="s">
        <v>48</v>
      </c>
      <c r="J60" s="6" t="s">
        <v>49</v>
      </c>
      <c r="K60" s="2"/>
      <c r="M60" s="13"/>
      <c r="N60" s="14"/>
      <c r="O60" s="13"/>
    </row>
    <row r="61" spans="1:15" x14ac:dyDescent="0.25">
      <c r="A61" s="2"/>
      <c r="B61" s="4"/>
      <c r="C61" s="75" t="s">
        <v>10</v>
      </c>
      <c r="D61" s="17">
        <v>80</v>
      </c>
      <c r="E61" s="17">
        <v>55</v>
      </c>
      <c r="F61" s="17">
        <v>45</v>
      </c>
      <c r="G61" s="17">
        <v>79</v>
      </c>
      <c r="H61" s="17">
        <v>59</v>
      </c>
      <c r="I61" s="17">
        <v>60</v>
      </c>
      <c r="J61" s="76">
        <f>AVERAGE(D61:I61)</f>
        <v>63</v>
      </c>
      <c r="K61" s="2"/>
      <c r="M61" s="13"/>
      <c r="N61" s="14"/>
      <c r="O61" s="13"/>
    </row>
    <row r="62" spans="1:15" x14ac:dyDescent="0.25">
      <c r="A62" s="2"/>
      <c r="B62" s="4"/>
      <c r="C62" s="77" t="s">
        <v>11</v>
      </c>
      <c r="D62" s="21"/>
      <c r="E62" s="21">
        <v>30</v>
      </c>
      <c r="F62" s="21">
        <v>55</v>
      </c>
      <c r="G62" s="21"/>
      <c r="H62" s="21">
        <v>49</v>
      </c>
      <c r="I62" s="21">
        <v>71</v>
      </c>
      <c r="J62" s="76">
        <f t="shared" ref="J62:J66" si="3">AVERAGE(D62:I62)</f>
        <v>51.25</v>
      </c>
      <c r="K62" s="2"/>
      <c r="M62" s="13"/>
      <c r="N62" s="14"/>
      <c r="O62" s="13"/>
    </row>
    <row r="63" spans="1:15" x14ac:dyDescent="0.25">
      <c r="A63" s="2"/>
      <c r="B63" s="4"/>
      <c r="C63" s="77" t="s">
        <v>12</v>
      </c>
      <c r="D63" s="21">
        <v>30</v>
      </c>
      <c r="E63" s="21">
        <v>29</v>
      </c>
      <c r="F63" s="21">
        <v>26</v>
      </c>
      <c r="G63" s="21">
        <v>50</v>
      </c>
      <c r="H63" s="21">
        <v>87</v>
      </c>
      <c r="I63" s="21">
        <v>39</v>
      </c>
      <c r="J63" s="76">
        <f t="shared" si="3"/>
        <v>43.5</v>
      </c>
      <c r="K63" s="2"/>
      <c r="M63" s="13"/>
      <c r="N63" s="14"/>
      <c r="O63" s="13"/>
    </row>
    <row r="64" spans="1:15" x14ac:dyDescent="0.25">
      <c r="A64" s="2"/>
      <c r="B64" s="4"/>
      <c r="C64" s="77" t="s">
        <v>10</v>
      </c>
      <c r="D64" s="21">
        <v>40</v>
      </c>
      <c r="E64" s="21"/>
      <c r="F64" s="21">
        <v>90</v>
      </c>
      <c r="G64" s="21">
        <v>47</v>
      </c>
      <c r="H64" s="21">
        <v>88</v>
      </c>
      <c r="I64" s="21">
        <v>42</v>
      </c>
      <c r="J64" s="76">
        <f t="shared" si="3"/>
        <v>61.4</v>
      </c>
      <c r="K64" s="2"/>
      <c r="M64" s="13"/>
      <c r="N64" s="14"/>
      <c r="O64" s="13"/>
    </row>
    <row r="65" spans="1:15" x14ac:dyDescent="0.25">
      <c r="A65" s="2"/>
      <c r="B65" s="4"/>
      <c r="C65" s="77" t="s">
        <v>11</v>
      </c>
      <c r="D65" s="21">
        <v>49</v>
      </c>
      <c r="E65" s="21">
        <v>71</v>
      </c>
      <c r="F65" s="21">
        <v>30</v>
      </c>
      <c r="G65" s="21">
        <v>55</v>
      </c>
      <c r="H65" s="21">
        <v>45</v>
      </c>
      <c r="I65" s="21">
        <v>79</v>
      </c>
      <c r="J65" s="76">
        <f t="shared" si="3"/>
        <v>54.833333333333336</v>
      </c>
      <c r="K65" s="2"/>
      <c r="M65" s="13"/>
      <c r="N65" s="14"/>
      <c r="O65" s="13"/>
    </row>
    <row r="66" spans="1:15" ht="13.5" thickBot="1" x14ac:dyDescent="0.3">
      <c r="A66" s="2"/>
      <c r="B66" s="4"/>
      <c r="C66" s="78" t="s">
        <v>12</v>
      </c>
      <c r="D66" s="79">
        <v>87</v>
      </c>
      <c r="E66" s="79">
        <v>39</v>
      </c>
      <c r="F66" s="79">
        <v>40</v>
      </c>
      <c r="G66" s="79"/>
      <c r="H66" s="79">
        <v>26</v>
      </c>
      <c r="I66" s="79">
        <v>50</v>
      </c>
      <c r="J66" s="76">
        <f t="shared" si="3"/>
        <v>48.4</v>
      </c>
      <c r="K66" s="2"/>
      <c r="M66" s="13"/>
      <c r="N66" s="14"/>
      <c r="O66" s="13"/>
    </row>
    <row r="69" spans="1:15" x14ac:dyDescent="0.25">
      <c r="A69" s="1" t="s">
        <v>50</v>
      </c>
      <c r="B69" s="2" t="s">
        <v>51</v>
      </c>
    </row>
    <row r="70" spans="1:15" ht="13.5" thickBot="1" x14ac:dyDescent="0.3">
      <c r="A70" s="2"/>
      <c r="B70" s="4"/>
      <c r="G70" s="2"/>
      <c r="H70" s="3"/>
      <c r="K70" s="2"/>
      <c r="M70" s="13"/>
      <c r="N70" s="14"/>
      <c r="O70" s="13"/>
    </row>
    <row r="71" spans="1:15" ht="13.5" thickBot="1" x14ac:dyDescent="0.3">
      <c r="A71" s="2"/>
      <c r="B71" s="4"/>
      <c r="C71" s="5" t="s">
        <v>52</v>
      </c>
      <c r="D71" s="15" t="s">
        <v>53</v>
      </c>
      <c r="E71" s="6" t="s">
        <v>54</v>
      </c>
      <c r="G71" s="2"/>
      <c r="H71" s="3"/>
      <c r="K71" s="2"/>
      <c r="M71" s="13"/>
      <c r="N71" s="14"/>
      <c r="O71" s="13"/>
    </row>
    <row r="72" spans="1:15" x14ac:dyDescent="0.25">
      <c r="A72" s="2"/>
      <c r="B72" s="4"/>
      <c r="C72" s="7" t="s">
        <v>10</v>
      </c>
      <c r="D72" s="17" t="s">
        <v>55</v>
      </c>
      <c r="E72" s="80"/>
      <c r="G72" s="2"/>
      <c r="H72" s="3"/>
      <c r="K72" s="2"/>
      <c r="M72" s="13"/>
      <c r="N72" s="14"/>
      <c r="O72" s="13"/>
    </row>
    <row r="73" spans="1:15" x14ac:dyDescent="0.25">
      <c r="A73" s="2"/>
      <c r="B73" s="4"/>
      <c r="C73" s="9" t="s">
        <v>11</v>
      </c>
      <c r="D73" s="21" t="s">
        <v>56</v>
      </c>
      <c r="E73" s="80"/>
      <c r="G73" s="2"/>
      <c r="H73" s="3"/>
      <c r="K73" s="2"/>
      <c r="M73" s="13"/>
      <c r="N73" s="14"/>
      <c r="O73" s="13"/>
    </row>
    <row r="74" spans="1:15" x14ac:dyDescent="0.25">
      <c r="A74" s="2"/>
      <c r="B74" s="4"/>
      <c r="C74" s="9" t="s">
        <v>12</v>
      </c>
      <c r="D74" s="21" t="s">
        <v>57</v>
      </c>
      <c r="E74" s="80"/>
      <c r="G74" s="2"/>
      <c r="H74" s="3"/>
      <c r="K74" s="2"/>
      <c r="M74" s="13"/>
      <c r="N74" s="14"/>
      <c r="O74" s="13"/>
    </row>
    <row r="75" spans="1:15" x14ac:dyDescent="0.25">
      <c r="A75" s="2"/>
      <c r="B75" s="4"/>
      <c r="C75" s="9" t="s">
        <v>10</v>
      </c>
      <c r="D75" s="21" t="s">
        <v>55</v>
      </c>
      <c r="E75" s="80"/>
      <c r="G75" s="2"/>
      <c r="H75" s="3"/>
      <c r="K75" s="2"/>
      <c r="M75" s="13"/>
      <c r="N75" s="14"/>
      <c r="O75" s="13"/>
    </row>
    <row r="76" spans="1:15" x14ac:dyDescent="0.25">
      <c r="A76" s="2"/>
      <c r="B76" s="4"/>
      <c r="C76" s="9" t="s">
        <v>11</v>
      </c>
      <c r="D76" s="21" t="s">
        <v>56</v>
      </c>
      <c r="E76" s="80"/>
      <c r="G76" s="2"/>
      <c r="H76" s="3"/>
      <c r="K76" s="2"/>
      <c r="M76" s="13"/>
      <c r="N76" s="14"/>
      <c r="O76" s="13"/>
    </row>
    <row r="77" spans="1:15" ht="13.5" thickBot="1" x14ac:dyDescent="0.3">
      <c r="A77" s="2"/>
      <c r="B77" s="4"/>
      <c r="C77" s="11" t="s">
        <v>12</v>
      </c>
      <c r="D77" s="79" t="s">
        <v>57</v>
      </c>
      <c r="E77" s="80"/>
      <c r="G77" s="2"/>
      <c r="H77" s="3"/>
      <c r="K77" s="2"/>
      <c r="M77" s="13"/>
      <c r="N77" s="14"/>
      <c r="O77" s="13"/>
    </row>
    <row r="80" spans="1:15" x14ac:dyDescent="0.25">
      <c r="A80" s="1" t="s">
        <v>58</v>
      </c>
      <c r="B80" s="2" t="s">
        <v>59</v>
      </c>
    </row>
    <row r="82" spans="1:15" ht="13.5" thickBot="1" x14ac:dyDescent="0.3">
      <c r="A82" s="2"/>
      <c r="B82" s="4"/>
      <c r="C82" s="5" t="s">
        <v>54</v>
      </c>
      <c r="D82" s="15" t="s">
        <v>52</v>
      </c>
      <c r="E82" s="6" t="s">
        <v>53</v>
      </c>
      <c r="G82" s="2"/>
      <c r="H82" s="3"/>
      <c r="K82" s="2"/>
      <c r="M82" s="13"/>
      <c r="N82" s="14"/>
      <c r="O82" s="13"/>
    </row>
    <row r="83" spans="1:15" x14ac:dyDescent="0.25">
      <c r="A83" s="2"/>
      <c r="B83" s="4"/>
      <c r="C83" s="7" t="s">
        <v>60</v>
      </c>
      <c r="D83" s="80"/>
      <c r="E83" s="80"/>
      <c r="G83" s="2"/>
      <c r="H83" s="3"/>
      <c r="K83" s="2"/>
      <c r="M83" s="13"/>
      <c r="N83" s="14"/>
      <c r="O83" s="13"/>
    </row>
    <row r="84" spans="1:15" x14ac:dyDescent="0.25">
      <c r="A84" s="2"/>
      <c r="B84" s="4"/>
      <c r="C84" s="9" t="s">
        <v>61</v>
      </c>
      <c r="D84" s="80"/>
      <c r="E84" s="80"/>
      <c r="G84" s="2"/>
      <c r="H84" s="3"/>
      <c r="K84" s="2"/>
      <c r="M84" s="13"/>
      <c r="N84" s="14"/>
      <c r="O84" s="13"/>
    </row>
    <row r="85" spans="1:15" x14ac:dyDescent="0.25">
      <c r="A85" s="2"/>
      <c r="B85" s="4"/>
      <c r="C85" s="9" t="s">
        <v>62</v>
      </c>
      <c r="D85" s="80"/>
      <c r="E85" s="80"/>
      <c r="G85" s="2"/>
      <c r="H85" s="3"/>
      <c r="K85" s="2"/>
      <c r="M85" s="13"/>
      <c r="N85" s="14"/>
      <c r="O85" s="13"/>
    </row>
    <row r="86" spans="1:15" x14ac:dyDescent="0.25">
      <c r="A86" s="2"/>
      <c r="B86" s="4"/>
      <c r="C86" s="9" t="s">
        <v>60</v>
      </c>
      <c r="D86" s="80"/>
      <c r="E86" s="80"/>
      <c r="G86" s="2"/>
      <c r="H86" s="3"/>
      <c r="K86" s="2"/>
      <c r="M86" s="13"/>
      <c r="N86" s="14"/>
      <c r="O86" s="13"/>
    </row>
    <row r="87" spans="1:15" x14ac:dyDescent="0.25">
      <c r="A87" s="2"/>
      <c r="B87" s="4"/>
      <c r="C87" s="9" t="s">
        <v>61</v>
      </c>
      <c r="D87" s="80"/>
      <c r="E87" s="80"/>
      <c r="G87" s="2"/>
      <c r="H87" s="3"/>
      <c r="K87" s="2"/>
      <c r="M87" s="13"/>
      <c r="N87" s="14"/>
      <c r="O87" s="13"/>
    </row>
    <row r="88" spans="1:15" ht="13.5" thickBot="1" x14ac:dyDescent="0.3">
      <c r="A88" s="2"/>
      <c r="B88" s="4"/>
      <c r="C88" s="11" t="s">
        <v>62</v>
      </c>
      <c r="D88" s="80"/>
      <c r="E88" s="80"/>
      <c r="G88" s="2"/>
      <c r="H88" s="3"/>
      <c r="K88" s="2"/>
      <c r="M88" s="13"/>
      <c r="N88" s="14"/>
      <c r="O88" s="13"/>
    </row>
    <row r="89" spans="1:15" x14ac:dyDescent="0.25">
      <c r="A89" s="2"/>
      <c r="B89" s="4"/>
      <c r="G89" s="2"/>
      <c r="H89" s="3"/>
      <c r="K89" s="2"/>
      <c r="M89" s="13"/>
      <c r="N89" s="14"/>
      <c r="O89" s="13"/>
    </row>
    <row r="90" spans="1:15" ht="13.5" thickBot="1" x14ac:dyDescent="0.3"/>
    <row r="91" spans="1:15" x14ac:dyDescent="0.25">
      <c r="A91" s="1" t="s">
        <v>63</v>
      </c>
      <c r="B91" s="2" t="s">
        <v>64</v>
      </c>
      <c r="C91" s="81" t="s">
        <v>65</v>
      </c>
      <c r="D91" s="82" t="s">
        <v>66</v>
      </c>
      <c r="E91" s="83" t="s">
        <v>67</v>
      </c>
      <c r="F91" s="84" t="s">
        <v>68</v>
      </c>
      <c r="G91" s="85" t="s">
        <v>69</v>
      </c>
      <c r="H91" s="86" t="s">
        <v>70</v>
      </c>
      <c r="J91" s="13"/>
      <c r="L91" s="14"/>
      <c r="M91" s="13"/>
      <c r="N91" s="2"/>
    </row>
    <row r="92" spans="1:15" ht="13.5" thickBot="1" x14ac:dyDescent="0.3">
      <c r="C92" s="87" t="s">
        <v>71</v>
      </c>
      <c r="D92" s="88" t="s">
        <v>72</v>
      </c>
      <c r="E92" s="89" t="s">
        <v>73</v>
      </c>
      <c r="F92" s="90" t="s">
        <v>74</v>
      </c>
      <c r="G92" s="91" t="s">
        <v>75</v>
      </c>
      <c r="H92" s="92" t="s">
        <v>76</v>
      </c>
      <c r="J92" s="13"/>
      <c r="L92" s="14"/>
      <c r="M92" s="13"/>
      <c r="N92" s="2"/>
    </row>
    <row r="93" spans="1:15" ht="13.5" thickBot="1" x14ac:dyDescent="0.3">
      <c r="F93" s="3"/>
      <c r="G93" s="2"/>
      <c r="J93" s="13"/>
      <c r="L93" s="14"/>
      <c r="M93" s="13"/>
      <c r="N93" s="2"/>
    </row>
    <row r="94" spans="1:15" ht="13.5" thickBot="1" x14ac:dyDescent="0.3">
      <c r="C94" s="38" t="s">
        <v>77</v>
      </c>
      <c r="D94" s="36" t="s">
        <v>43</v>
      </c>
      <c r="E94" s="15" t="s">
        <v>44</v>
      </c>
      <c r="F94" s="6" t="s">
        <v>45</v>
      </c>
      <c r="G94" s="2"/>
      <c r="J94" s="13"/>
      <c r="L94" s="14"/>
      <c r="M94" s="13"/>
      <c r="N94" s="2"/>
    </row>
    <row r="95" spans="1:15" ht="15" customHeight="1" x14ac:dyDescent="0.25">
      <c r="C95" s="93" t="s">
        <v>10</v>
      </c>
      <c r="D95" s="94">
        <v>0.35</v>
      </c>
      <c r="E95" s="95">
        <v>0.4</v>
      </c>
      <c r="F95" s="96">
        <v>0.49</v>
      </c>
      <c r="G95" s="2"/>
      <c r="H95" s="3"/>
      <c r="J95" s="13"/>
      <c r="L95" s="14"/>
      <c r="M95" s="13"/>
      <c r="N95" s="2"/>
    </row>
    <row r="96" spans="1:15" ht="15" customHeight="1" x14ac:dyDescent="0.25">
      <c r="C96" s="97" t="s">
        <v>11</v>
      </c>
      <c r="D96" s="98">
        <v>0.41</v>
      </c>
      <c r="E96" s="99">
        <v>0.55000000000000004</v>
      </c>
      <c r="F96" s="100">
        <v>0.48</v>
      </c>
      <c r="G96" s="2"/>
      <c r="H96" s="3"/>
      <c r="J96" s="13"/>
      <c r="L96" s="14"/>
      <c r="M96" s="13"/>
      <c r="N96" s="2"/>
    </row>
    <row r="97" spans="1:14" ht="15" customHeight="1" x14ac:dyDescent="0.25">
      <c r="C97" s="97" t="s">
        <v>12</v>
      </c>
      <c r="D97" s="98">
        <v>0.8</v>
      </c>
      <c r="E97" s="99">
        <v>0.9</v>
      </c>
      <c r="F97" s="100">
        <v>0.32</v>
      </c>
      <c r="G97" s="2"/>
      <c r="H97" s="3"/>
      <c r="J97" s="13"/>
      <c r="L97" s="14"/>
      <c r="M97" s="13"/>
      <c r="N97" s="2"/>
    </row>
    <row r="98" spans="1:14" ht="15" customHeight="1" x14ac:dyDescent="0.25">
      <c r="C98" s="97" t="s">
        <v>13</v>
      </c>
      <c r="D98" s="98">
        <v>0.77</v>
      </c>
      <c r="E98" s="99">
        <v>0.38</v>
      </c>
      <c r="F98" s="100">
        <v>0.4</v>
      </c>
      <c r="G98" s="2"/>
      <c r="H98" s="3"/>
      <c r="J98" s="13"/>
      <c r="L98" s="14"/>
      <c r="M98" s="13"/>
      <c r="N98" s="2"/>
    </row>
    <row r="99" spans="1:14" ht="15" customHeight="1" x14ac:dyDescent="0.25">
      <c r="C99" s="97" t="s">
        <v>14</v>
      </c>
      <c r="D99" s="98">
        <v>0.38</v>
      </c>
      <c r="E99" s="99">
        <v>0.55000000000000004</v>
      </c>
      <c r="F99" s="100">
        <v>0.61</v>
      </c>
      <c r="G99" s="2"/>
      <c r="H99" s="3"/>
      <c r="J99" s="13"/>
      <c r="L99" s="14"/>
      <c r="M99" s="13"/>
      <c r="N99" s="2"/>
    </row>
    <row r="100" spans="1:14" ht="15" customHeight="1" x14ac:dyDescent="0.25">
      <c r="C100" s="97" t="s">
        <v>15</v>
      </c>
      <c r="D100" s="98">
        <v>0.55000000000000004</v>
      </c>
      <c r="E100" s="99">
        <v>0.35</v>
      </c>
      <c r="F100" s="100">
        <v>0.55000000000000004</v>
      </c>
      <c r="G100" s="2"/>
      <c r="H100" s="3"/>
      <c r="J100" s="13"/>
      <c r="L100" s="14"/>
      <c r="M100" s="13"/>
      <c r="N100" s="2"/>
    </row>
    <row r="101" spans="1:14" ht="15" customHeight="1" x14ac:dyDescent="0.25">
      <c r="C101" s="97" t="s">
        <v>78</v>
      </c>
      <c r="D101" s="98">
        <v>0.9</v>
      </c>
      <c r="E101" s="99">
        <v>0.41</v>
      </c>
      <c r="F101" s="100">
        <v>0.8</v>
      </c>
      <c r="G101" s="2"/>
      <c r="H101" s="3"/>
      <c r="J101" s="13"/>
      <c r="L101" s="14"/>
      <c r="M101" s="13"/>
      <c r="N101" s="2"/>
    </row>
    <row r="102" spans="1:14" ht="15" customHeight="1" x14ac:dyDescent="0.25">
      <c r="C102" s="97" t="s">
        <v>79</v>
      </c>
      <c r="D102" s="98">
        <v>0.35</v>
      </c>
      <c r="E102" s="99">
        <v>0.8</v>
      </c>
      <c r="F102" s="100">
        <v>0.95</v>
      </c>
      <c r="G102" s="2"/>
      <c r="H102" s="3"/>
      <c r="J102" s="13"/>
      <c r="L102" s="14"/>
      <c r="M102" s="13"/>
      <c r="N102" s="2"/>
    </row>
    <row r="103" spans="1:14" ht="15" customHeight="1" x14ac:dyDescent="0.25">
      <c r="C103" s="97" t="s">
        <v>80</v>
      </c>
      <c r="D103" s="98">
        <v>0.35</v>
      </c>
      <c r="E103" s="99">
        <v>0.77</v>
      </c>
      <c r="F103" s="100">
        <v>0.92</v>
      </c>
      <c r="G103" s="2"/>
      <c r="H103" s="3"/>
      <c r="J103" s="13"/>
      <c r="L103" s="14"/>
      <c r="M103" s="13"/>
      <c r="N103" s="2"/>
    </row>
    <row r="104" spans="1:14" ht="15" customHeight="1" x14ac:dyDescent="0.25">
      <c r="C104" s="97" t="s">
        <v>81</v>
      </c>
      <c r="D104" s="98">
        <v>0.6</v>
      </c>
      <c r="E104" s="99">
        <v>0.38</v>
      </c>
      <c r="F104" s="100">
        <v>0.96</v>
      </c>
      <c r="G104" s="2"/>
      <c r="H104" s="3"/>
      <c r="J104" s="13"/>
      <c r="L104" s="14"/>
      <c r="M104" s="13"/>
      <c r="N104" s="2"/>
    </row>
    <row r="105" spans="1:14" ht="15" customHeight="1" x14ac:dyDescent="0.25">
      <c r="C105" s="97" t="s">
        <v>82</v>
      </c>
      <c r="D105" s="98">
        <v>0.96</v>
      </c>
      <c r="E105" s="99">
        <v>0.8</v>
      </c>
      <c r="F105" s="100">
        <v>0.2</v>
      </c>
      <c r="G105" s="2"/>
      <c r="H105" s="3"/>
      <c r="J105" s="13"/>
      <c r="L105" s="14"/>
      <c r="M105" s="13"/>
      <c r="N105" s="2"/>
    </row>
    <row r="106" spans="1:14" ht="15" customHeight="1" x14ac:dyDescent="0.25">
      <c r="C106" s="97" t="s">
        <v>83</v>
      </c>
      <c r="D106" s="98">
        <v>0.25</v>
      </c>
      <c r="E106" s="99">
        <v>0.82</v>
      </c>
      <c r="F106" s="100">
        <v>0.4</v>
      </c>
      <c r="G106" s="2"/>
      <c r="H106" s="3"/>
      <c r="J106" s="13"/>
      <c r="L106" s="14"/>
      <c r="M106" s="13"/>
      <c r="N106" s="2"/>
    </row>
    <row r="107" spans="1:14" ht="15" customHeight="1" thickBot="1" x14ac:dyDescent="0.3">
      <c r="C107" s="101" t="s">
        <v>84</v>
      </c>
      <c r="D107" s="102">
        <v>0.45</v>
      </c>
      <c r="E107" s="103">
        <v>0.2</v>
      </c>
      <c r="F107" s="104">
        <v>0.38</v>
      </c>
      <c r="G107" s="2"/>
      <c r="H107" s="3"/>
      <c r="J107" s="13"/>
      <c r="L107" s="14"/>
      <c r="M107" s="13"/>
      <c r="N107" s="2"/>
    </row>
    <row r="108" spans="1:14" x14ac:dyDescent="0.25">
      <c r="I108" s="3"/>
    </row>
    <row r="111" spans="1:14" x14ac:dyDescent="0.25">
      <c r="A111" s="1" t="s">
        <v>85</v>
      </c>
      <c r="B111" s="2" t="s">
        <v>86</v>
      </c>
    </row>
    <row r="113" spans="1:15" ht="13.5" thickBot="1" x14ac:dyDescent="0.3">
      <c r="C113" s="38" t="s">
        <v>77</v>
      </c>
      <c r="D113" s="36" t="s">
        <v>65</v>
      </c>
      <c r="E113" s="6" t="s">
        <v>87</v>
      </c>
    </row>
    <row r="114" spans="1:15" x14ac:dyDescent="0.25">
      <c r="C114" s="93" t="s">
        <v>88</v>
      </c>
      <c r="D114" s="105" t="s">
        <v>4</v>
      </c>
      <c r="E114" s="106">
        <v>80</v>
      </c>
    </row>
    <row r="115" spans="1:15" x14ac:dyDescent="0.25">
      <c r="C115" s="97" t="s">
        <v>89</v>
      </c>
      <c r="D115" s="107" t="s">
        <v>5</v>
      </c>
      <c r="E115" s="108">
        <v>25</v>
      </c>
    </row>
    <row r="116" spans="1:15" x14ac:dyDescent="0.25">
      <c r="C116" s="97" t="s">
        <v>88</v>
      </c>
      <c r="D116" s="107" t="s">
        <v>5</v>
      </c>
      <c r="E116" s="108">
        <v>80</v>
      </c>
    </row>
    <row r="117" spans="1:15" x14ac:dyDescent="0.25">
      <c r="C117" s="97" t="s">
        <v>90</v>
      </c>
      <c r="D117" s="107" t="s">
        <v>4</v>
      </c>
      <c r="E117" s="108">
        <v>150</v>
      </c>
    </row>
    <row r="118" spans="1:15" x14ac:dyDescent="0.25">
      <c r="C118" s="97" t="s">
        <v>90</v>
      </c>
      <c r="D118" s="107" t="s">
        <v>5</v>
      </c>
      <c r="E118" s="108">
        <v>300</v>
      </c>
    </row>
    <row r="119" spans="1:15" x14ac:dyDescent="0.25">
      <c r="C119" s="97" t="s">
        <v>88</v>
      </c>
      <c r="D119" s="107" t="s">
        <v>4</v>
      </c>
      <c r="E119" s="108">
        <v>50</v>
      </c>
    </row>
    <row r="120" spans="1:15" x14ac:dyDescent="0.25">
      <c r="C120" s="97" t="s">
        <v>89</v>
      </c>
      <c r="D120" s="107" t="s">
        <v>4</v>
      </c>
      <c r="E120" s="108">
        <v>200</v>
      </c>
    </row>
    <row r="121" spans="1:15" x14ac:dyDescent="0.25">
      <c r="C121" s="97" t="s">
        <v>89</v>
      </c>
      <c r="D121" s="107" t="s">
        <v>5</v>
      </c>
      <c r="E121" s="108">
        <v>100</v>
      </c>
    </row>
    <row r="122" spans="1:15" x14ac:dyDescent="0.25">
      <c r="C122" s="97" t="s">
        <v>88</v>
      </c>
      <c r="D122" s="107" t="s">
        <v>5</v>
      </c>
      <c r="E122" s="108">
        <v>50</v>
      </c>
    </row>
    <row r="123" spans="1:15" x14ac:dyDescent="0.25">
      <c r="C123" s="97" t="s">
        <v>89</v>
      </c>
      <c r="D123" s="107" t="s">
        <v>4</v>
      </c>
      <c r="E123" s="108">
        <v>200</v>
      </c>
    </row>
    <row r="124" spans="1:15" x14ac:dyDescent="0.25">
      <c r="C124" s="97" t="s">
        <v>90</v>
      </c>
      <c r="D124" s="107" t="s">
        <v>4</v>
      </c>
      <c r="E124" s="108">
        <v>380</v>
      </c>
    </row>
    <row r="125" spans="1:15" x14ac:dyDescent="0.25">
      <c r="C125" s="97" t="s">
        <v>90</v>
      </c>
      <c r="D125" s="107" t="s">
        <v>5</v>
      </c>
      <c r="E125" s="108">
        <v>150</v>
      </c>
    </row>
    <row r="126" spans="1:15" ht="13.5" thickBot="1" x14ac:dyDescent="0.3">
      <c r="C126" s="101" t="s">
        <v>89</v>
      </c>
      <c r="D126" s="109" t="s">
        <v>5</v>
      </c>
      <c r="E126" s="110">
        <v>300</v>
      </c>
    </row>
    <row r="128" spans="1:15" ht="13.5" thickBot="1" x14ac:dyDescent="0.3">
      <c r="A128" s="2"/>
      <c r="B128" s="4"/>
      <c r="G128" s="2"/>
      <c r="H128" s="3"/>
      <c r="K128" s="2"/>
      <c r="M128" s="13"/>
      <c r="N128" s="14"/>
      <c r="O128" s="13"/>
    </row>
    <row r="129" spans="1:15" ht="13.5" thickBot="1" x14ac:dyDescent="0.3">
      <c r="A129" s="2"/>
      <c r="B129" s="4"/>
      <c r="C129" s="111" t="s">
        <v>91</v>
      </c>
      <c r="D129" s="112"/>
      <c r="E129" s="113"/>
      <c r="F129" s="114">
        <f>SUMIF(Category,"a",Value)</f>
        <v>1060</v>
      </c>
      <c r="K129" s="2"/>
      <c r="M129" s="13"/>
      <c r="N129" s="14"/>
      <c r="O129" s="13"/>
    </row>
    <row r="130" spans="1:15" x14ac:dyDescent="0.25">
      <c r="A130" s="2"/>
      <c r="B130" s="4"/>
      <c r="C130" s="115" t="s">
        <v>92</v>
      </c>
      <c r="D130" s="21"/>
      <c r="E130" s="116"/>
      <c r="F130" s="114">
        <f>SUMIF(Item,"tyres",Value)</f>
        <v>825</v>
      </c>
      <c r="K130" s="2"/>
      <c r="M130" s="13"/>
      <c r="N130" s="14"/>
      <c r="O130" s="13"/>
    </row>
    <row r="131" spans="1:15" x14ac:dyDescent="0.25">
      <c r="A131" s="2"/>
      <c r="B131" s="4"/>
      <c r="C131" s="115" t="s">
        <v>93</v>
      </c>
      <c r="D131" s="21"/>
      <c r="E131" s="116"/>
      <c r="F131" s="117">
        <f>SUMIFS(Value,Item,"brakes",Category,"A")</f>
        <v>130</v>
      </c>
      <c r="K131" s="2"/>
      <c r="M131" s="13"/>
      <c r="N131" s="14"/>
      <c r="O131" s="13"/>
    </row>
    <row r="132" spans="1:15" ht="13.5" thickBot="1" x14ac:dyDescent="0.3">
      <c r="A132" s="2"/>
      <c r="B132" s="4"/>
      <c r="C132" s="118" t="s">
        <v>94</v>
      </c>
      <c r="D132" s="79"/>
      <c r="E132" s="119"/>
      <c r="F132" s="117">
        <f>SUMIFS(Value,Item,"brakes",Category,"A")</f>
        <v>130</v>
      </c>
      <c r="K132" s="2"/>
      <c r="M132" s="13"/>
      <c r="N132" s="14"/>
      <c r="O132" s="13"/>
    </row>
    <row r="135" spans="1:15" x14ac:dyDescent="0.25">
      <c r="A135" s="1" t="s">
        <v>95</v>
      </c>
      <c r="B135" s="2" t="s">
        <v>96</v>
      </c>
    </row>
    <row r="137" spans="1:15" ht="13.5" thickBot="1" x14ac:dyDescent="0.3">
      <c r="C137" s="38" t="s">
        <v>77</v>
      </c>
      <c r="D137" s="36" t="s">
        <v>97</v>
      </c>
      <c r="E137" s="6" t="s">
        <v>87</v>
      </c>
    </row>
    <row r="138" spans="1:15" x14ac:dyDescent="0.25">
      <c r="C138" s="93" t="s">
        <v>88</v>
      </c>
      <c r="D138" s="105" t="s">
        <v>4</v>
      </c>
      <c r="E138" s="106">
        <v>80</v>
      </c>
    </row>
    <row r="139" spans="1:15" x14ac:dyDescent="0.25">
      <c r="C139" s="97" t="s">
        <v>89</v>
      </c>
      <c r="D139" s="107" t="s">
        <v>5</v>
      </c>
      <c r="E139" s="108">
        <v>25</v>
      </c>
    </row>
    <row r="140" spans="1:15" x14ac:dyDescent="0.25">
      <c r="C140" s="97" t="s">
        <v>88</v>
      </c>
      <c r="D140" s="107" t="s">
        <v>5</v>
      </c>
      <c r="E140" s="108">
        <v>80</v>
      </c>
    </row>
    <row r="141" spans="1:15" x14ac:dyDescent="0.25">
      <c r="C141" s="97" t="s">
        <v>90</v>
      </c>
      <c r="D141" s="107" t="s">
        <v>4</v>
      </c>
      <c r="E141" s="108">
        <v>150</v>
      </c>
    </row>
    <row r="142" spans="1:15" x14ac:dyDescent="0.25">
      <c r="C142" s="97" t="s">
        <v>90</v>
      </c>
      <c r="D142" s="107" t="s">
        <v>5</v>
      </c>
      <c r="E142" s="108">
        <v>300</v>
      </c>
    </row>
    <row r="143" spans="1:15" x14ac:dyDescent="0.25">
      <c r="C143" s="97" t="s">
        <v>88</v>
      </c>
      <c r="D143" s="107" t="s">
        <v>4</v>
      </c>
      <c r="E143" s="108">
        <v>50</v>
      </c>
    </row>
    <row r="144" spans="1:15" x14ac:dyDescent="0.25">
      <c r="C144" s="97" t="s">
        <v>89</v>
      </c>
      <c r="D144" s="107" t="s">
        <v>4</v>
      </c>
      <c r="E144" s="108">
        <v>200</v>
      </c>
    </row>
    <row r="145" spans="1:15" x14ac:dyDescent="0.25">
      <c r="C145" s="97" t="s">
        <v>89</v>
      </c>
      <c r="D145" s="107" t="s">
        <v>5</v>
      </c>
      <c r="E145" s="108">
        <v>100</v>
      </c>
    </row>
    <row r="146" spans="1:15" x14ac:dyDescent="0.25">
      <c r="C146" s="97" t="s">
        <v>88</v>
      </c>
      <c r="D146" s="107" t="s">
        <v>5</v>
      </c>
      <c r="E146" s="108">
        <v>50</v>
      </c>
    </row>
    <row r="147" spans="1:15" x14ac:dyDescent="0.25">
      <c r="C147" s="97" t="s">
        <v>89</v>
      </c>
      <c r="D147" s="107" t="s">
        <v>4</v>
      </c>
      <c r="E147" s="108">
        <v>200</v>
      </c>
    </row>
    <row r="148" spans="1:15" x14ac:dyDescent="0.25">
      <c r="C148" s="97" t="s">
        <v>90</v>
      </c>
      <c r="D148" s="107" t="s">
        <v>4</v>
      </c>
      <c r="E148" s="108">
        <v>380</v>
      </c>
    </row>
    <row r="149" spans="1:15" x14ac:dyDescent="0.25">
      <c r="C149" s="97" t="s">
        <v>90</v>
      </c>
      <c r="D149" s="107" t="s">
        <v>5</v>
      </c>
      <c r="E149" s="108">
        <v>150</v>
      </c>
    </row>
    <row r="150" spans="1:15" ht="13.5" thickBot="1" x14ac:dyDescent="0.3">
      <c r="C150" s="101" t="s">
        <v>89</v>
      </c>
      <c r="D150" s="109" t="s">
        <v>5</v>
      </c>
      <c r="E150" s="110">
        <v>300</v>
      </c>
    </row>
    <row r="152" spans="1:15" ht="13.5" thickBot="1" x14ac:dyDescent="0.3">
      <c r="A152" s="2"/>
      <c r="B152" s="4"/>
      <c r="G152" s="2"/>
      <c r="H152" s="3"/>
      <c r="K152" s="2"/>
      <c r="M152" s="13"/>
      <c r="N152" s="14"/>
      <c r="O152" s="13"/>
    </row>
    <row r="153" spans="1:15" x14ac:dyDescent="0.25">
      <c r="A153" s="2"/>
      <c r="B153" s="4"/>
      <c r="C153" s="120" t="s">
        <v>98</v>
      </c>
      <c r="D153" s="121"/>
      <c r="E153" s="122"/>
      <c r="F153" s="114"/>
      <c r="G153" s="2"/>
      <c r="H153" s="3"/>
      <c r="K153" s="2"/>
      <c r="M153" s="13"/>
      <c r="N153" s="14"/>
      <c r="O153" s="13"/>
    </row>
    <row r="154" spans="1:15" x14ac:dyDescent="0.25">
      <c r="A154" s="2"/>
      <c r="B154" s="4"/>
      <c r="C154" s="123" t="s">
        <v>99</v>
      </c>
      <c r="D154" s="124"/>
      <c r="E154" s="125"/>
      <c r="F154" s="117"/>
      <c r="G154" s="2"/>
      <c r="H154" s="3"/>
      <c r="K154" s="2"/>
      <c r="M154" s="13"/>
      <c r="N154" s="14"/>
      <c r="O154" s="13"/>
    </row>
    <row r="155" spans="1:15" x14ac:dyDescent="0.25">
      <c r="A155" s="2"/>
      <c r="B155" s="4"/>
      <c r="C155" s="123" t="s">
        <v>100</v>
      </c>
      <c r="D155" s="124"/>
      <c r="E155" s="125"/>
      <c r="F155" s="117"/>
      <c r="G155" s="2"/>
      <c r="H155" s="3"/>
      <c r="K155" s="2"/>
      <c r="M155" s="13"/>
      <c r="N155" s="14"/>
      <c r="O155" s="13"/>
    </row>
    <row r="156" spans="1:15" ht="13.5" thickBot="1" x14ac:dyDescent="0.3">
      <c r="A156" s="2"/>
      <c r="B156" s="4"/>
      <c r="C156" s="126" t="s">
        <v>101</v>
      </c>
      <c r="D156" s="127"/>
      <c r="E156" s="128"/>
      <c r="F156" s="129"/>
      <c r="G156" s="2"/>
      <c r="H156" s="3"/>
      <c r="K156" s="2"/>
      <c r="M156" s="13"/>
      <c r="N156" s="14"/>
      <c r="O156" s="13"/>
    </row>
    <row r="161" spans="1:5" x14ac:dyDescent="0.25">
      <c r="A161" s="1" t="s">
        <v>102</v>
      </c>
      <c r="B161" s="2" t="s">
        <v>103</v>
      </c>
    </row>
    <row r="162" spans="1:5" x14ac:dyDescent="0.25">
      <c r="B162" s="2" t="s">
        <v>104</v>
      </c>
    </row>
    <row r="163" spans="1:5" x14ac:dyDescent="0.25">
      <c r="B163" s="2" t="s">
        <v>105</v>
      </c>
    </row>
    <row r="165" spans="1:5" ht="13.5" thickBot="1" x14ac:dyDescent="0.3">
      <c r="C165" s="5" t="s">
        <v>77</v>
      </c>
      <c r="D165" s="15" t="s">
        <v>106</v>
      </c>
      <c r="E165" s="6" t="s">
        <v>107</v>
      </c>
    </row>
    <row r="166" spans="1:5" x14ac:dyDescent="0.25">
      <c r="C166" s="7" t="s">
        <v>89</v>
      </c>
      <c r="D166" s="130">
        <v>5</v>
      </c>
      <c r="E166" s="106">
        <v>100</v>
      </c>
    </row>
    <row r="167" spans="1:5" x14ac:dyDescent="0.25">
      <c r="C167" s="9" t="s">
        <v>108</v>
      </c>
      <c r="D167" s="131">
        <v>2</v>
      </c>
      <c r="E167" s="108">
        <v>10</v>
      </c>
    </row>
    <row r="168" spans="1:5" ht="13.5" thickBot="1" x14ac:dyDescent="0.3">
      <c r="C168" s="11" t="s">
        <v>109</v>
      </c>
      <c r="D168" s="132">
        <v>3</v>
      </c>
      <c r="E168" s="110">
        <v>2</v>
      </c>
    </row>
    <row r="169" spans="1:5" ht="13.5" thickBot="1" x14ac:dyDescent="0.3"/>
    <row r="170" spans="1:5" ht="13.5" thickBot="1" x14ac:dyDescent="0.3">
      <c r="C170" s="205" t="s">
        <v>110</v>
      </c>
      <c r="D170" s="206"/>
      <c r="E170" s="133"/>
    </row>
    <row r="173" spans="1:5" x14ac:dyDescent="0.25">
      <c r="A173" s="1" t="s">
        <v>111</v>
      </c>
      <c r="B173" s="2" t="s">
        <v>112</v>
      </c>
      <c r="C173" s="2" t="s">
        <v>113</v>
      </c>
    </row>
    <row r="174" spans="1:5" x14ac:dyDescent="0.25">
      <c r="C174" s="2" t="s">
        <v>114</v>
      </c>
    </row>
    <row r="176" spans="1:5" ht="13.5" thickBot="1" x14ac:dyDescent="0.3">
      <c r="C176" s="4" t="s">
        <v>115</v>
      </c>
    </row>
    <row r="177" spans="3:8" ht="13.5" thickBot="1" x14ac:dyDescent="0.3">
      <c r="C177" s="38" t="s">
        <v>77</v>
      </c>
      <c r="D177" s="36" t="s">
        <v>116</v>
      </c>
      <c r="E177" s="15" t="s">
        <v>117</v>
      </c>
      <c r="F177" s="6" t="s">
        <v>118</v>
      </c>
    </row>
    <row r="178" spans="3:8" x14ac:dyDescent="0.25">
      <c r="C178" s="93" t="s">
        <v>119</v>
      </c>
      <c r="D178" s="134">
        <v>165</v>
      </c>
      <c r="E178" s="130">
        <v>450</v>
      </c>
      <c r="F178" s="106">
        <v>600</v>
      </c>
    </row>
    <row r="179" spans="3:8" x14ac:dyDescent="0.25">
      <c r="C179" s="97" t="s">
        <v>120</v>
      </c>
      <c r="D179" s="135">
        <v>1000</v>
      </c>
      <c r="E179" s="131">
        <v>1200</v>
      </c>
      <c r="F179" s="108">
        <v>800</v>
      </c>
    </row>
    <row r="180" spans="3:8" x14ac:dyDescent="0.25">
      <c r="C180" s="97" t="s">
        <v>121</v>
      </c>
      <c r="D180" s="135">
        <v>250</v>
      </c>
      <c r="E180" s="131">
        <v>350</v>
      </c>
      <c r="F180" s="108">
        <v>275</v>
      </c>
    </row>
    <row r="181" spans="3:8" x14ac:dyDescent="0.25">
      <c r="C181" s="97" t="s">
        <v>122</v>
      </c>
      <c r="D181" s="135">
        <v>50</v>
      </c>
      <c r="E181" s="131">
        <v>70</v>
      </c>
      <c r="F181" s="108">
        <v>45</v>
      </c>
    </row>
    <row r="182" spans="3:8" ht="13.5" thickBot="1" x14ac:dyDescent="0.3">
      <c r="C182" s="101" t="s">
        <v>123</v>
      </c>
      <c r="D182" s="136">
        <v>300</v>
      </c>
      <c r="E182" s="132">
        <v>290</v>
      </c>
      <c r="F182" s="110">
        <v>310</v>
      </c>
    </row>
    <row r="183" spans="3:8" x14ac:dyDescent="0.25">
      <c r="G183" s="2"/>
    </row>
    <row r="184" spans="3:8" x14ac:dyDescent="0.25">
      <c r="G184" s="2"/>
    </row>
    <row r="186" spans="3:8" ht="13.5" thickBot="1" x14ac:dyDescent="0.3">
      <c r="C186" s="5" t="s">
        <v>124</v>
      </c>
      <c r="D186" s="6" t="s">
        <v>77</v>
      </c>
      <c r="E186" s="36" t="s">
        <v>116</v>
      </c>
      <c r="F186" s="15" t="s">
        <v>117</v>
      </c>
      <c r="G186" s="37" t="s">
        <v>118</v>
      </c>
      <c r="H186" s="38" t="s">
        <v>16</v>
      </c>
    </row>
    <row r="187" spans="3:8" x14ac:dyDescent="0.25">
      <c r="C187" s="7" t="s">
        <v>116</v>
      </c>
      <c r="D187" s="137" t="s">
        <v>122</v>
      </c>
      <c r="E187" s="138"/>
      <c r="F187" s="138"/>
      <c r="G187" s="139"/>
      <c r="H187" s="140">
        <f t="shared" ref="H187:H197" si="4">SUM(E187:G187)</f>
        <v>0</v>
      </c>
    </row>
    <row r="188" spans="3:8" x14ac:dyDescent="0.25">
      <c r="C188" s="9" t="s">
        <v>118</v>
      </c>
      <c r="D188" s="116" t="s">
        <v>119</v>
      </c>
      <c r="E188" s="138"/>
      <c r="F188" s="138"/>
      <c r="G188" s="139"/>
      <c r="H188" s="140">
        <f t="shared" si="4"/>
        <v>0</v>
      </c>
    </row>
    <row r="189" spans="3:8" x14ac:dyDescent="0.25">
      <c r="C189" s="9" t="s">
        <v>117</v>
      </c>
      <c r="D189" s="116" t="s">
        <v>120</v>
      </c>
      <c r="E189" s="138"/>
      <c r="F189" s="138"/>
      <c r="G189" s="139"/>
      <c r="H189" s="140">
        <f t="shared" si="4"/>
        <v>0</v>
      </c>
    </row>
    <row r="190" spans="3:8" x14ac:dyDescent="0.25">
      <c r="C190" s="9" t="s">
        <v>118</v>
      </c>
      <c r="D190" s="116" t="s">
        <v>121</v>
      </c>
      <c r="E190" s="138"/>
      <c r="F190" s="138"/>
      <c r="G190" s="139"/>
      <c r="H190" s="140">
        <f t="shared" si="4"/>
        <v>0</v>
      </c>
    </row>
    <row r="191" spans="3:8" x14ac:dyDescent="0.25">
      <c r="C191" s="9" t="s">
        <v>117</v>
      </c>
      <c r="D191" s="116" t="s">
        <v>122</v>
      </c>
      <c r="E191" s="138"/>
      <c r="F191" s="138"/>
      <c r="G191" s="139"/>
      <c r="H191" s="140">
        <f t="shared" si="4"/>
        <v>0</v>
      </c>
    </row>
    <row r="192" spans="3:8" x14ac:dyDescent="0.25">
      <c r="C192" s="9" t="s">
        <v>117</v>
      </c>
      <c r="D192" s="116" t="s">
        <v>123</v>
      </c>
      <c r="E192" s="138"/>
      <c r="F192" s="138"/>
      <c r="G192" s="139"/>
      <c r="H192" s="140">
        <f t="shared" si="4"/>
        <v>0</v>
      </c>
    </row>
    <row r="193" spans="1:9" x14ac:dyDescent="0.25">
      <c r="C193" s="9" t="s">
        <v>116</v>
      </c>
      <c r="D193" s="116" t="s">
        <v>119</v>
      </c>
      <c r="E193" s="138"/>
      <c r="F193" s="138"/>
      <c r="G193" s="139"/>
      <c r="H193" s="140">
        <f t="shared" si="4"/>
        <v>0</v>
      </c>
    </row>
    <row r="194" spans="1:9" x14ac:dyDescent="0.25">
      <c r="C194" s="9" t="s">
        <v>117</v>
      </c>
      <c r="D194" s="116" t="s">
        <v>120</v>
      </c>
      <c r="E194" s="138"/>
      <c r="F194" s="138"/>
      <c r="G194" s="139"/>
      <c r="H194" s="140">
        <f t="shared" si="4"/>
        <v>0</v>
      </c>
    </row>
    <row r="195" spans="1:9" x14ac:dyDescent="0.25">
      <c r="C195" s="9" t="s">
        <v>118</v>
      </c>
      <c r="D195" s="116" t="s">
        <v>121</v>
      </c>
      <c r="E195" s="138"/>
      <c r="F195" s="138"/>
      <c r="G195" s="139"/>
      <c r="H195" s="140">
        <f t="shared" si="4"/>
        <v>0</v>
      </c>
    </row>
    <row r="196" spans="1:9" x14ac:dyDescent="0.25">
      <c r="C196" s="9" t="s">
        <v>117</v>
      </c>
      <c r="D196" s="116" t="s">
        <v>122</v>
      </c>
      <c r="E196" s="138"/>
      <c r="F196" s="138"/>
      <c r="G196" s="139"/>
      <c r="H196" s="140">
        <f t="shared" si="4"/>
        <v>0</v>
      </c>
    </row>
    <row r="197" spans="1:9" ht="13.5" thickBot="1" x14ac:dyDescent="0.3">
      <c r="C197" s="141" t="s">
        <v>116</v>
      </c>
      <c r="D197" s="142" t="s">
        <v>123</v>
      </c>
      <c r="E197" s="138"/>
      <c r="F197" s="138"/>
      <c r="G197" s="139"/>
      <c r="H197" s="140">
        <f t="shared" si="4"/>
        <v>0</v>
      </c>
    </row>
    <row r="198" spans="1:9" ht="13.5" thickBot="1" x14ac:dyDescent="0.3">
      <c r="C198" s="143" t="s">
        <v>16</v>
      </c>
      <c r="D198" s="144"/>
      <c r="E198" s="145">
        <f t="shared" ref="E198:H198" si="5">SUM(E187:E197)</f>
        <v>0</v>
      </c>
      <c r="F198" s="145">
        <f t="shared" si="5"/>
        <v>0</v>
      </c>
      <c r="G198" s="146">
        <f t="shared" si="5"/>
        <v>0</v>
      </c>
      <c r="H198" s="147">
        <f t="shared" si="5"/>
        <v>0</v>
      </c>
    </row>
    <row r="201" spans="1:9" x14ac:dyDescent="0.25">
      <c r="A201" s="1" t="s">
        <v>125</v>
      </c>
      <c r="B201" s="2" t="s">
        <v>126</v>
      </c>
      <c r="C201" s="2" t="s">
        <v>113</v>
      </c>
    </row>
    <row r="202" spans="1:9" x14ac:dyDescent="0.25">
      <c r="C202" s="2" t="s">
        <v>114</v>
      </c>
    </row>
    <row r="205" spans="1:9" ht="13.5" thickBot="1" x14ac:dyDescent="0.3">
      <c r="C205" s="4" t="s">
        <v>127</v>
      </c>
    </row>
    <row r="206" spans="1:9" ht="13.5" thickBot="1" x14ac:dyDescent="0.3">
      <c r="C206" s="38" t="s">
        <v>77</v>
      </c>
      <c r="D206" s="36" t="s">
        <v>116</v>
      </c>
      <c r="E206" s="15" t="s">
        <v>117</v>
      </c>
      <c r="F206" s="15" t="s">
        <v>128</v>
      </c>
      <c r="G206" s="15" t="s">
        <v>129</v>
      </c>
      <c r="H206" s="37" t="s">
        <v>118</v>
      </c>
      <c r="I206" s="38" t="s">
        <v>16</v>
      </c>
    </row>
    <row r="207" spans="1:9" x14ac:dyDescent="0.25">
      <c r="C207" s="93" t="s">
        <v>119</v>
      </c>
      <c r="D207" s="134">
        <v>500</v>
      </c>
      <c r="E207" s="130">
        <v>450</v>
      </c>
      <c r="F207" s="130">
        <v>350</v>
      </c>
      <c r="G207" s="130">
        <v>150</v>
      </c>
      <c r="H207" s="148">
        <v>600</v>
      </c>
      <c r="I207" s="149">
        <f t="shared" ref="I207:I211" si="6">SUM(D207:H207)</f>
        <v>2050</v>
      </c>
    </row>
    <row r="208" spans="1:9" x14ac:dyDescent="0.25">
      <c r="C208" s="97" t="s">
        <v>120</v>
      </c>
      <c r="D208" s="135">
        <v>1000</v>
      </c>
      <c r="E208" s="131">
        <v>1200</v>
      </c>
      <c r="F208" s="131">
        <v>1150</v>
      </c>
      <c r="G208" s="131">
        <v>170</v>
      </c>
      <c r="H208" s="150">
        <v>800</v>
      </c>
      <c r="I208" s="151">
        <f t="shared" si="6"/>
        <v>4320</v>
      </c>
    </row>
    <row r="209" spans="3:14" x14ac:dyDescent="0.25">
      <c r="C209" s="97" t="s">
        <v>121</v>
      </c>
      <c r="D209" s="135">
        <v>250</v>
      </c>
      <c r="E209" s="131">
        <v>350</v>
      </c>
      <c r="F209" s="131">
        <v>270</v>
      </c>
      <c r="G209" s="131">
        <v>230</v>
      </c>
      <c r="H209" s="150">
        <v>275</v>
      </c>
      <c r="I209" s="151">
        <f t="shared" si="6"/>
        <v>1375</v>
      </c>
    </row>
    <row r="210" spans="3:14" x14ac:dyDescent="0.25">
      <c r="C210" s="97" t="s">
        <v>122</v>
      </c>
      <c r="D210" s="135">
        <v>50</v>
      </c>
      <c r="E210" s="131">
        <v>70</v>
      </c>
      <c r="F210" s="131">
        <v>35</v>
      </c>
      <c r="G210" s="131">
        <v>55</v>
      </c>
      <c r="H210" s="150">
        <v>45</v>
      </c>
      <c r="I210" s="151">
        <f t="shared" si="6"/>
        <v>255</v>
      </c>
    </row>
    <row r="211" spans="3:14" ht="13.5" thickBot="1" x14ac:dyDescent="0.3">
      <c r="C211" s="152" t="s">
        <v>123</v>
      </c>
      <c r="D211" s="153">
        <v>300</v>
      </c>
      <c r="E211" s="154">
        <v>290</v>
      </c>
      <c r="F211" s="154">
        <v>180</v>
      </c>
      <c r="G211" s="154">
        <v>225</v>
      </c>
      <c r="H211" s="155">
        <v>310</v>
      </c>
      <c r="I211" s="156">
        <f t="shared" si="6"/>
        <v>1305</v>
      </c>
    </row>
    <row r="212" spans="3:14" ht="13.5" thickBot="1" x14ac:dyDescent="0.3">
      <c r="C212" s="157" t="s">
        <v>16</v>
      </c>
      <c r="D212" s="158">
        <f>SUM(D207:D211)</f>
        <v>2100</v>
      </c>
      <c r="E212" s="159">
        <f t="shared" ref="E212:I212" si="7">SUM(E207:E211)</f>
        <v>2360</v>
      </c>
      <c r="F212" s="159">
        <f t="shared" si="7"/>
        <v>1985</v>
      </c>
      <c r="G212" s="159">
        <f t="shared" si="7"/>
        <v>830</v>
      </c>
      <c r="H212" s="160">
        <f t="shared" si="7"/>
        <v>2030</v>
      </c>
      <c r="I212" s="161">
        <f t="shared" si="7"/>
        <v>9305</v>
      </c>
    </row>
    <row r="213" spans="3:14" x14ac:dyDescent="0.25">
      <c r="G213" s="2"/>
    </row>
    <row r="214" spans="3:14" ht="13.5" thickBot="1" x14ac:dyDescent="0.3">
      <c r="E214" s="3"/>
      <c r="G214" s="2"/>
      <c r="I214" s="13"/>
      <c r="J214" s="13"/>
      <c r="K214" s="14"/>
      <c r="M214" s="2"/>
      <c r="N214" s="2"/>
    </row>
    <row r="215" spans="3:14" ht="13.5" thickBot="1" x14ac:dyDescent="0.3">
      <c r="C215" s="38" t="s">
        <v>77</v>
      </c>
      <c r="D215" s="36" t="s">
        <v>120</v>
      </c>
      <c r="E215" s="15" t="s">
        <v>123</v>
      </c>
      <c r="F215" s="15" t="s">
        <v>119</v>
      </c>
      <c r="G215" s="15" t="s">
        <v>122</v>
      </c>
      <c r="H215" s="37" t="s">
        <v>121</v>
      </c>
      <c r="I215" s="38" t="s">
        <v>16</v>
      </c>
    </row>
    <row r="216" spans="3:14" ht="15" customHeight="1" x14ac:dyDescent="0.25">
      <c r="C216" s="93" t="s">
        <v>128</v>
      </c>
      <c r="D216" s="134"/>
      <c r="E216" s="134"/>
      <c r="F216" s="134"/>
      <c r="G216" s="134"/>
      <c r="H216" s="134"/>
      <c r="I216" s="162"/>
    </row>
    <row r="217" spans="3:14" ht="15" customHeight="1" x14ac:dyDescent="0.25">
      <c r="C217" s="97" t="s">
        <v>118</v>
      </c>
      <c r="D217" s="134"/>
      <c r="E217" s="134"/>
      <c r="F217" s="134"/>
      <c r="G217" s="134"/>
      <c r="H217" s="134"/>
      <c r="I217" s="163"/>
    </row>
    <row r="218" spans="3:14" ht="15" customHeight="1" x14ac:dyDescent="0.25">
      <c r="C218" s="97" t="s">
        <v>116</v>
      </c>
      <c r="D218" s="134"/>
      <c r="E218" s="134"/>
      <c r="F218" s="134"/>
      <c r="G218" s="134"/>
      <c r="H218" s="134"/>
      <c r="I218" s="163"/>
    </row>
    <row r="219" spans="3:14" ht="15" customHeight="1" x14ac:dyDescent="0.25">
      <c r="C219" s="97" t="s">
        <v>129</v>
      </c>
      <c r="D219" s="134"/>
      <c r="E219" s="134"/>
      <c r="F219" s="134"/>
      <c r="G219" s="134"/>
      <c r="H219" s="134"/>
      <c r="I219" s="163"/>
    </row>
    <row r="220" spans="3:14" ht="15" customHeight="1" thickBot="1" x14ac:dyDescent="0.3">
      <c r="C220" s="152" t="s">
        <v>117</v>
      </c>
      <c r="D220" s="134"/>
      <c r="E220" s="134"/>
      <c r="F220" s="134"/>
      <c r="G220" s="134"/>
      <c r="H220" s="134"/>
      <c r="I220" s="164"/>
    </row>
    <row r="221" spans="3:14" ht="15" customHeight="1" thickBot="1" x14ac:dyDescent="0.3">
      <c r="C221" s="157" t="s">
        <v>16</v>
      </c>
      <c r="D221" s="165"/>
      <c r="E221" s="165"/>
      <c r="F221" s="165"/>
      <c r="G221" s="165"/>
      <c r="H221" s="165"/>
      <c r="I221" s="165"/>
    </row>
    <row r="222" spans="3:14" x14ac:dyDescent="0.25">
      <c r="E222" s="3"/>
      <c r="G222" s="2"/>
      <c r="I222" s="13"/>
      <c r="J222" s="13"/>
      <c r="K222" s="14"/>
      <c r="M222" s="2"/>
      <c r="N222" s="2"/>
    </row>
    <row r="223" spans="3:14" x14ac:dyDescent="0.25">
      <c r="E223" s="3"/>
      <c r="G223" s="2"/>
      <c r="I223" s="13"/>
      <c r="J223" s="13"/>
      <c r="K223" s="14"/>
      <c r="M223" s="2"/>
      <c r="N223" s="2"/>
    </row>
    <row r="224" spans="3:14" x14ac:dyDescent="0.25">
      <c r="E224" s="3"/>
      <c r="G224" s="2"/>
      <c r="I224" s="13"/>
      <c r="J224" s="13"/>
      <c r="K224" s="14"/>
      <c r="M224" s="2"/>
      <c r="N224" s="2"/>
    </row>
    <row r="225" spans="1:14" x14ac:dyDescent="0.25">
      <c r="A225" s="1" t="s">
        <v>130</v>
      </c>
      <c r="B225" s="2" t="s">
        <v>131</v>
      </c>
      <c r="C225" s="2" t="s">
        <v>113</v>
      </c>
    </row>
    <row r="226" spans="1:14" x14ac:dyDescent="0.25">
      <c r="C226" s="2" t="s">
        <v>114</v>
      </c>
    </row>
    <row r="229" spans="1:14" ht="13.5" thickBot="1" x14ac:dyDescent="0.3">
      <c r="C229" s="4" t="s">
        <v>132</v>
      </c>
    </row>
    <row r="230" spans="1:14" ht="13.5" thickBot="1" x14ac:dyDescent="0.3">
      <c r="C230" s="38" t="s">
        <v>77</v>
      </c>
      <c r="D230" s="36" t="s">
        <v>116</v>
      </c>
      <c r="E230" s="15" t="s">
        <v>117</v>
      </c>
      <c r="F230" s="15" t="s">
        <v>128</v>
      </c>
      <c r="G230" s="15" t="s">
        <v>129</v>
      </c>
      <c r="H230" s="37" t="s">
        <v>118</v>
      </c>
      <c r="I230" s="38" t="s">
        <v>16</v>
      </c>
    </row>
    <row r="231" spans="1:14" x14ac:dyDescent="0.25">
      <c r="C231" s="93" t="s">
        <v>119</v>
      </c>
      <c r="D231" s="134">
        <v>500</v>
      </c>
      <c r="E231" s="130">
        <v>450</v>
      </c>
      <c r="F231" s="130">
        <v>350</v>
      </c>
      <c r="G231" s="130">
        <v>150</v>
      </c>
      <c r="H231" s="148">
        <v>600</v>
      </c>
      <c r="I231" s="149">
        <f t="shared" ref="I231:I235" si="8">SUM(D231:H231)</f>
        <v>2050</v>
      </c>
    </row>
    <row r="232" spans="1:14" x14ac:dyDescent="0.25">
      <c r="C232" s="97" t="s">
        <v>120</v>
      </c>
      <c r="D232" s="135">
        <v>1000</v>
      </c>
      <c r="E232" s="131">
        <v>1200</v>
      </c>
      <c r="F232" s="131">
        <v>1150</v>
      </c>
      <c r="G232" s="131">
        <v>170</v>
      </c>
      <c r="H232" s="150">
        <v>800</v>
      </c>
      <c r="I232" s="151">
        <f t="shared" si="8"/>
        <v>4320</v>
      </c>
    </row>
    <row r="233" spans="1:14" x14ac:dyDescent="0.25">
      <c r="C233" s="97" t="s">
        <v>121</v>
      </c>
      <c r="D233" s="135">
        <v>250</v>
      </c>
      <c r="E233" s="131">
        <v>350</v>
      </c>
      <c r="F233" s="131">
        <v>270</v>
      </c>
      <c r="G233" s="131">
        <v>230</v>
      </c>
      <c r="H233" s="150">
        <v>275</v>
      </c>
      <c r="I233" s="151">
        <f t="shared" si="8"/>
        <v>1375</v>
      </c>
    </row>
    <row r="234" spans="1:14" x14ac:dyDescent="0.25">
      <c r="C234" s="97" t="s">
        <v>122</v>
      </c>
      <c r="D234" s="135">
        <v>50</v>
      </c>
      <c r="E234" s="131">
        <v>70</v>
      </c>
      <c r="F234" s="131">
        <v>35</v>
      </c>
      <c r="G234" s="131">
        <v>55</v>
      </c>
      <c r="H234" s="150">
        <v>45</v>
      </c>
      <c r="I234" s="151">
        <f t="shared" si="8"/>
        <v>255</v>
      </c>
    </row>
    <row r="235" spans="1:14" ht="13.5" thickBot="1" x14ac:dyDescent="0.3">
      <c r="C235" s="152" t="s">
        <v>123</v>
      </c>
      <c r="D235" s="153">
        <v>300</v>
      </c>
      <c r="E235" s="154">
        <v>290</v>
      </c>
      <c r="F235" s="154">
        <v>180</v>
      </c>
      <c r="G235" s="154">
        <v>225</v>
      </c>
      <c r="H235" s="155">
        <v>310</v>
      </c>
      <c r="I235" s="156">
        <f t="shared" si="8"/>
        <v>1305</v>
      </c>
    </row>
    <row r="236" spans="1:14" ht="13.5" thickBot="1" x14ac:dyDescent="0.3">
      <c r="C236" s="157" t="s">
        <v>16</v>
      </c>
      <c r="D236" s="158">
        <f>SUM(D231:D235)</f>
        <v>2100</v>
      </c>
      <c r="E236" s="159">
        <f t="shared" ref="E236:I236" si="9">SUM(E231:E235)</f>
        <v>2360</v>
      </c>
      <c r="F236" s="159">
        <f t="shared" si="9"/>
        <v>1985</v>
      </c>
      <c r="G236" s="159">
        <f t="shared" si="9"/>
        <v>830</v>
      </c>
      <c r="H236" s="160">
        <f t="shared" si="9"/>
        <v>2030</v>
      </c>
      <c r="I236" s="161">
        <f t="shared" si="9"/>
        <v>9305</v>
      </c>
    </row>
    <row r="237" spans="1:14" x14ac:dyDescent="0.25">
      <c r="G237" s="2"/>
    </row>
    <row r="238" spans="1:14" ht="13.5" thickBot="1" x14ac:dyDescent="0.3">
      <c r="E238" s="3"/>
      <c r="G238" s="2"/>
      <c r="I238" s="13"/>
      <c r="J238" s="13"/>
      <c r="K238" s="14"/>
      <c r="M238" s="2"/>
      <c r="N238" s="2"/>
    </row>
    <row r="239" spans="1:14" ht="13.5" thickBot="1" x14ac:dyDescent="0.3">
      <c r="C239" s="38" t="s">
        <v>77</v>
      </c>
      <c r="D239" s="36" t="s">
        <v>120</v>
      </c>
      <c r="E239" s="15" t="s">
        <v>123</v>
      </c>
      <c r="F239" s="15" t="s">
        <v>119</v>
      </c>
      <c r="G239" s="15" t="s">
        <v>122</v>
      </c>
      <c r="H239" s="37" t="s">
        <v>121</v>
      </c>
      <c r="I239" s="38" t="s">
        <v>16</v>
      </c>
    </row>
    <row r="240" spans="1:14" ht="15" customHeight="1" x14ac:dyDescent="0.25">
      <c r="C240" s="93" t="s">
        <v>128</v>
      </c>
      <c r="D240" s="134"/>
      <c r="E240" s="134"/>
      <c r="F240" s="134"/>
      <c r="G240" s="134"/>
      <c r="H240" s="134"/>
      <c r="I240" s="162">
        <f>SUM(D240:H240)</f>
        <v>0</v>
      </c>
    </row>
    <row r="241" spans="1:14" ht="15" customHeight="1" x14ac:dyDescent="0.25">
      <c r="C241" s="97" t="s">
        <v>118</v>
      </c>
      <c r="D241" s="134"/>
      <c r="E241" s="134"/>
      <c r="F241" s="134"/>
      <c r="G241" s="134"/>
      <c r="H241" s="134"/>
      <c r="I241" s="162">
        <f t="shared" ref="I241:I245" si="10">SUM(D241:H241)</f>
        <v>0</v>
      </c>
    </row>
    <row r="242" spans="1:14" ht="15" customHeight="1" x14ac:dyDescent="0.25">
      <c r="C242" s="97" t="s">
        <v>116</v>
      </c>
      <c r="D242" s="134"/>
      <c r="E242" s="134"/>
      <c r="F242" s="134"/>
      <c r="G242" s="134"/>
      <c r="H242" s="134"/>
      <c r="I242" s="162">
        <f t="shared" si="10"/>
        <v>0</v>
      </c>
    </row>
    <row r="243" spans="1:14" ht="15" customHeight="1" x14ac:dyDescent="0.25">
      <c r="C243" s="97" t="s">
        <v>129</v>
      </c>
      <c r="D243" s="134"/>
      <c r="E243" s="134"/>
      <c r="F243" s="134"/>
      <c r="G243" s="134"/>
      <c r="H243" s="134"/>
      <c r="I243" s="162">
        <f t="shared" si="10"/>
        <v>0</v>
      </c>
    </row>
    <row r="244" spans="1:14" ht="15" customHeight="1" thickBot="1" x14ac:dyDescent="0.3">
      <c r="C244" s="152" t="s">
        <v>117</v>
      </c>
      <c r="D244" s="134"/>
      <c r="E244" s="134"/>
      <c r="F244" s="134"/>
      <c r="G244" s="134"/>
      <c r="H244" s="134"/>
      <c r="I244" s="166">
        <f t="shared" si="10"/>
        <v>0</v>
      </c>
    </row>
    <row r="245" spans="1:14" ht="15" customHeight="1" thickBot="1" x14ac:dyDescent="0.3">
      <c r="C245" s="157" t="s">
        <v>16</v>
      </c>
      <c r="D245" s="165">
        <f>SUM(D240:D244)</f>
        <v>0</v>
      </c>
      <c r="E245" s="165">
        <f t="shared" ref="E245:H245" si="11">SUM(E240:E244)</f>
        <v>0</v>
      </c>
      <c r="F245" s="165">
        <f t="shared" si="11"/>
        <v>0</v>
      </c>
      <c r="G245" s="165">
        <f t="shared" si="11"/>
        <v>0</v>
      </c>
      <c r="H245" s="165">
        <f t="shared" si="11"/>
        <v>0</v>
      </c>
      <c r="I245" s="167">
        <f t="shared" si="10"/>
        <v>0</v>
      </c>
    </row>
    <row r="246" spans="1:14" x14ac:dyDescent="0.25">
      <c r="E246" s="3"/>
      <c r="G246" s="2"/>
      <c r="I246" s="13"/>
      <c r="J246" s="13"/>
      <c r="K246" s="14"/>
      <c r="M246" s="2"/>
      <c r="N246" s="2"/>
    </row>
    <row r="247" spans="1:14" x14ac:dyDescent="0.25">
      <c r="E247" s="3"/>
      <c r="G247" s="2"/>
      <c r="I247" s="13"/>
      <c r="J247" s="13"/>
      <c r="K247" s="14"/>
      <c r="M247" s="2"/>
      <c r="N247" s="2"/>
    </row>
    <row r="248" spans="1:14" x14ac:dyDescent="0.25">
      <c r="E248" s="3"/>
      <c r="G248" s="2"/>
      <c r="I248" s="13"/>
      <c r="J248" s="13"/>
      <c r="K248" s="14"/>
      <c r="M248" s="2"/>
      <c r="N248" s="2"/>
    </row>
    <row r="250" spans="1:14" x14ac:dyDescent="0.25">
      <c r="A250" s="1" t="s">
        <v>133</v>
      </c>
      <c r="B250" s="2" t="s">
        <v>134</v>
      </c>
    </row>
    <row r="254" spans="1:14" ht="13.5" thickBot="1" x14ac:dyDescent="0.3">
      <c r="C254" s="38" t="s">
        <v>7</v>
      </c>
      <c r="D254" s="168" t="s">
        <v>135</v>
      </c>
      <c r="F254" s="3"/>
      <c r="G254" s="2"/>
    </row>
    <row r="255" spans="1:14" x14ac:dyDescent="0.25">
      <c r="C255" s="93" t="s">
        <v>10</v>
      </c>
      <c r="D255" s="169"/>
      <c r="F255" s="3"/>
      <c r="G255" s="2"/>
    </row>
    <row r="256" spans="1:14" x14ac:dyDescent="0.25">
      <c r="C256" s="97" t="s">
        <v>10</v>
      </c>
      <c r="D256" s="169"/>
      <c r="F256" s="3"/>
      <c r="G256" s="2"/>
    </row>
    <row r="257" spans="3:7" x14ac:dyDescent="0.25">
      <c r="C257" s="97" t="s">
        <v>10</v>
      </c>
      <c r="D257" s="169"/>
      <c r="F257" s="3"/>
      <c r="G257" s="2"/>
    </row>
    <row r="258" spans="3:7" x14ac:dyDescent="0.25">
      <c r="C258" s="97" t="s">
        <v>11</v>
      </c>
      <c r="D258" s="169"/>
      <c r="F258" s="3"/>
      <c r="G258" s="2"/>
    </row>
    <row r="259" spans="3:7" x14ac:dyDescent="0.25">
      <c r="C259" s="97" t="s">
        <v>11</v>
      </c>
      <c r="D259" s="169"/>
      <c r="F259" s="3"/>
      <c r="G259" s="2"/>
    </row>
    <row r="260" spans="3:7" x14ac:dyDescent="0.25">
      <c r="C260" s="97" t="s">
        <v>12</v>
      </c>
      <c r="D260" s="169"/>
      <c r="F260" s="3"/>
      <c r="G260" s="2"/>
    </row>
    <row r="261" spans="3:7" x14ac:dyDescent="0.25">
      <c r="C261" s="97" t="s">
        <v>13</v>
      </c>
      <c r="D261" s="169"/>
      <c r="F261" s="3"/>
      <c r="G261" s="2"/>
    </row>
    <row r="262" spans="3:7" x14ac:dyDescent="0.25">
      <c r="C262" s="97" t="s">
        <v>79</v>
      </c>
      <c r="D262" s="169"/>
      <c r="F262" s="3"/>
      <c r="G262" s="2"/>
    </row>
    <row r="263" spans="3:7" x14ac:dyDescent="0.25">
      <c r="C263" s="97" t="s">
        <v>136</v>
      </c>
      <c r="D263" s="169"/>
      <c r="F263" s="3"/>
      <c r="G263" s="2"/>
    </row>
    <row r="264" spans="3:7" x14ac:dyDescent="0.25">
      <c r="C264" s="97" t="s">
        <v>80</v>
      </c>
      <c r="D264" s="169"/>
      <c r="F264" s="3"/>
      <c r="G264" s="2"/>
    </row>
    <row r="265" spans="3:7" x14ac:dyDescent="0.25">
      <c r="C265" s="97" t="s">
        <v>80</v>
      </c>
      <c r="D265" s="169"/>
      <c r="F265" s="3"/>
      <c r="G265" s="2"/>
    </row>
    <row r="266" spans="3:7" x14ac:dyDescent="0.25">
      <c r="C266" s="97" t="s">
        <v>81</v>
      </c>
      <c r="D266" s="169"/>
      <c r="F266" s="3"/>
      <c r="G266" s="2"/>
    </row>
    <row r="267" spans="3:7" x14ac:dyDescent="0.25">
      <c r="C267" s="97" t="s">
        <v>81</v>
      </c>
      <c r="D267" s="169"/>
      <c r="F267" s="3"/>
      <c r="G267" s="2"/>
    </row>
    <row r="268" spans="3:7" x14ac:dyDescent="0.25">
      <c r="C268" s="97" t="s">
        <v>82</v>
      </c>
      <c r="D268" s="169"/>
      <c r="F268" s="3"/>
      <c r="G268" s="2"/>
    </row>
    <row r="269" spans="3:7" x14ac:dyDescent="0.25">
      <c r="C269" s="97" t="s">
        <v>83</v>
      </c>
      <c r="D269" s="169"/>
      <c r="F269" s="3"/>
      <c r="G269" s="2"/>
    </row>
    <row r="270" spans="3:7" x14ac:dyDescent="0.25">
      <c r="C270" s="97" t="s">
        <v>84</v>
      </c>
      <c r="D270" s="169"/>
      <c r="F270" s="3"/>
      <c r="G270" s="2"/>
    </row>
    <row r="271" spans="3:7" x14ac:dyDescent="0.25">
      <c r="C271" s="97" t="s">
        <v>84</v>
      </c>
      <c r="D271" s="169"/>
      <c r="F271" s="3"/>
      <c r="G271" s="2"/>
    </row>
    <row r="272" spans="3:7" x14ac:dyDescent="0.25">
      <c r="C272" s="97" t="s">
        <v>78</v>
      </c>
      <c r="D272" s="169"/>
      <c r="F272" s="3"/>
      <c r="G272" s="2"/>
    </row>
    <row r="273" spans="1:14" x14ac:dyDescent="0.25">
      <c r="C273" s="97" t="s">
        <v>137</v>
      </c>
      <c r="D273" s="169"/>
      <c r="F273" s="3"/>
      <c r="G273" s="2"/>
    </row>
    <row r="274" spans="1:14" ht="13.5" thickBot="1" x14ac:dyDescent="0.3">
      <c r="C274" s="101" t="s">
        <v>56</v>
      </c>
      <c r="D274" s="169"/>
      <c r="F274" s="3"/>
      <c r="G274" s="2"/>
    </row>
    <row r="278" spans="1:14" x14ac:dyDescent="0.25">
      <c r="A278" s="1" t="s">
        <v>138</v>
      </c>
      <c r="B278" s="2" t="s">
        <v>139</v>
      </c>
    </row>
    <row r="279" spans="1:14" x14ac:dyDescent="0.25">
      <c r="B279" s="4"/>
    </row>
    <row r="280" spans="1:14" x14ac:dyDescent="0.25">
      <c r="C280" s="170" t="s">
        <v>140</v>
      </c>
      <c r="D280" s="171" t="s">
        <v>141</v>
      </c>
      <c r="E280" s="171" t="s">
        <v>142</v>
      </c>
      <c r="F280" s="171" t="s">
        <v>143</v>
      </c>
      <c r="G280" s="171" t="s">
        <v>144</v>
      </c>
      <c r="H280" s="171" t="s">
        <v>145</v>
      </c>
    </row>
    <row r="281" spans="1:14" x14ac:dyDescent="0.25">
      <c r="C281" s="170" t="s">
        <v>2</v>
      </c>
      <c r="D281" s="171" t="s">
        <v>146</v>
      </c>
      <c r="E281" s="171" t="s">
        <v>6</v>
      </c>
      <c r="F281" s="171" t="s">
        <v>5</v>
      </c>
      <c r="G281" s="171" t="s">
        <v>4</v>
      </c>
      <c r="H281" s="171" t="s">
        <v>147</v>
      </c>
    </row>
    <row r="282" spans="1:14" x14ac:dyDescent="0.25">
      <c r="C282" s="172"/>
      <c r="D282" s="173"/>
      <c r="E282" s="173"/>
      <c r="F282" s="173"/>
      <c r="G282" s="173"/>
      <c r="H282" s="173"/>
    </row>
    <row r="283" spans="1:14" ht="13.5" thickBot="1" x14ac:dyDescent="0.3">
      <c r="F283" s="3"/>
      <c r="G283" s="2"/>
      <c r="J283" s="13"/>
      <c r="L283" s="14"/>
      <c r="M283" s="13"/>
      <c r="N283" s="2"/>
    </row>
    <row r="284" spans="1:14" ht="13.5" thickBot="1" x14ac:dyDescent="0.3">
      <c r="C284" s="5" t="s">
        <v>7</v>
      </c>
      <c r="D284" s="6" t="s">
        <v>140</v>
      </c>
      <c r="E284" s="168" t="s">
        <v>2</v>
      </c>
      <c r="G284" s="2"/>
      <c r="J284" s="13"/>
      <c r="L284" s="14"/>
      <c r="M284" s="13"/>
      <c r="N284" s="2"/>
    </row>
    <row r="285" spans="1:14" x14ac:dyDescent="0.25">
      <c r="C285" s="7" t="s">
        <v>10</v>
      </c>
      <c r="D285" s="137">
        <v>80</v>
      </c>
      <c r="E285" s="169"/>
      <c r="G285" s="2"/>
      <c r="J285" s="13"/>
      <c r="L285" s="14"/>
      <c r="M285" s="13"/>
      <c r="N285" s="2"/>
    </row>
    <row r="286" spans="1:14" x14ac:dyDescent="0.25">
      <c r="C286" s="9" t="s">
        <v>11</v>
      </c>
      <c r="D286" s="116">
        <v>50</v>
      </c>
      <c r="E286" s="169"/>
      <c r="G286" s="2"/>
      <c r="J286" s="13"/>
      <c r="L286" s="14"/>
      <c r="M286" s="13"/>
      <c r="N286" s="2"/>
    </row>
    <row r="287" spans="1:14" x14ac:dyDescent="0.25">
      <c r="C287" s="9" t="s">
        <v>12</v>
      </c>
      <c r="D287" s="116">
        <v>60</v>
      </c>
      <c r="E287" s="169"/>
      <c r="G287" s="2"/>
      <c r="J287" s="13"/>
      <c r="L287" s="14"/>
      <c r="M287" s="13"/>
      <c r="N287" s="2"/>
    </row>
    <row r="288" spans="1:14" x14ac:dyDescent="0.25">
      <c r="C288" s="9" t="s">
        <v>13</v>
      </c>
      <c r="D288" s="116">
        <v>95</v>
      </c>
      <c r="E288" s="169"/>
      <c r="G288" s="2"/>
      <c r="J288" s="13"/>
      <c r="L288" s="14"/>
      <c r="M288" s="13"/>
      <c r="N288" s="2"/>
    </row>
    <row r="289" spans="3:14" x14ac:dyDescent="0.25">
      <c r="C289" s="9" t="s">
        <v>79</v>
      </c>
      <c r="D289" s="116">
        <v>20</v>
      </c>
      <c r="E289" s="169"/>
      <c r="G289" s="2"/>
      <c r="J289" s="13"/>
      <c r="L289" s="14"/>
      <c r="M289" s="13"/>
      <c r="N289" s="2"/>
    </row>
    <row r="290" spans="3:14" x14ac:dyDescent="0.25">
      <c r="C290" s="9" t="s">
        <v>80</v>
      </c>
      <c r="D290" s="116">
        <v>40</v>
      </c>
      <c r="E290" s="169"/>
      <c r="G290" s="2"/>
      <c r="J290" s="13"/>
      <c r="L290" s="14"/>
      <c r="M290" s="13"/>
      <c r="N290" s="2"/>
    </row>
    <row r="291" spans="3:14" x14ac:dyDescent="0.25">
      <c r="C291" s="9" t="s">
        <v>81</v>
      </c>
      <c r="D291" s="116">
        <v>10</v>
      </c>
      <c r="E291" s="169"/>
      <c r="G291" s="2"/>
      <c r="J291" s="13"/>
      <c r="L291" s="14"/>
      <c r="M291" s="13"/>
      <c r="N291" s="2"/>
    </row>
    <row r="292" spans="3:14" x14ac:dyDescent="0.25">
      <c r="C292" s="9" t="s">
        <v>82</v>
      </c>
      <c r="D292" s="116">
        <v>80</v>
      </c>
      <c r="E292" s="169"/>
      <c r="G292" s="2"/>
      <c r="J292" s="13"/>
      <c r="L292" s="14"/>
      <c r="M292" s="13"/>
      <c r="N292" s="2"/>
    </row>
    <row r="293" spans="3:14" x14ac:dyDescent="0.25">
      <c r="C293" s="9" t="s">
        <v>83</v>
      </c>
      <c r="D293" s="116">
        <v>30</v>
      </c>
      <c r="E293" s="169"/>
      <c r="G293" s="2"/>
      <c r="J293" s="13"/>
      <c r="L293" s="14"/>
      <c r="M293" s="13"/>
      <c r="N293" s="2"/>
    </row>
    <row r="294" spans="3:14" x14ac:dyDescent="0.25">
      <c r="C294" s="9" t="s">
        <v>84</v>
      </c>
      <c r="D294" s="116">
        <v>10</v>
      </c>
      <c r="E294" s="169"/>
      <c r="G294" s="2"/>
      <c r="J294" s="13"/>
      <c r="L294" s="14"/>
      <c r="M294" s="13"/>
      <c r="N294" s="2"/>
    </row>
    <row r="295" spans="3:14" x14ac:dyDescent="0.25">
      <c r="C295" s="9" t="s">
        <v>10</v>
      </c>
      <c r="D295" s="116">
        <v>75</v>
      </c>
      <c r="E295" s="169"/>
      <c r="J295" s="13"/>
      <c r="L295" s="14"/>
      <c r="M295" s="13"/>
      <c r="N295" s="2"/>
    </row>
    <row r="296" spans="3:14" x14ac:dyDescent="0.25">
      <c r="C296" s="9" t="s">
        <v>11</v>
      </c>
      <c r="D296" s="116">
        <v>35</v>
      </c>
      <c r="E296" s="169"/>
      <c r="J296" s="13"/>
      <c r="L296" s="14"/>
      <c r="M296" s="13"/>
      <c r="N296" s="2"/>
    </row>
    <row r="297" spans="3:14" x14ac:dyDescent="0.25">
      <c r="C297" s="9" t="s">
        <v>12</v>
      </c>
      <c r="D297" s="116">
        <v>70</v>
      </c>
      <c r="E297" s="169"/>
      <c r="J297" s="13"/>
      <c r="L297" s="14"/>
      <c r="M297" s="13"/>
      <c r="N297" s="2"/>
    </row>
    <row r="298" spans="3:14" x14ac:dyDescent="0.25">
      <c r="C298" s="9" t="s">
        <v>13</v>
      </c>
      <c r="D298" s="116">
        <v>85</v>
      </c>
      <c r="E298" s="169"/>
      <c r="J298" s="13"/>
      <c r="L298" s="14"/>
      <c r="M298" s="13"/>
      <c r="N298" s="2"/>
    </row>
    <row r="299" spans="3:14" x14ac:dyDescent="0.25">
      <c r="C299" s="9" t="s">
        <v>79</v>
      </c>
      <c r="D299" s="116">
        <v>30</v>
      </c>
      <c r="E299" s="169"/>
      <c r="J299" s="13"/>
      <c r="L299" s="14"/>
      <c r="M299" s="13"/>
      <c r="N299" s="2"/>
    </row>
    <row r="300" spans="3:14" x14ac:dyDescent="0.25">
      <c r="C300" s="9" t="s">
        <v>80</v>
      </c>
      <c r="D300" s="116">
        <v>60</v>
      </c>
      <c r="E300" s="169"/>
      <c r="J300" s="13"/>
      <c r="L300" s="14"/>
      <c r="M300" s="13"/>
      <c r="N300" s="2"/>
    </row>
    <row r="301" spans="3:14" x14ac:dyDescent="0.25">
      <c r="C301" s="9" t="s">
        <v>81</v>
      </c>
      <c r="D301" s="116">
        <v>90</v>
      </c>
      <c r="E301" s="169"/>
      <c r="J301" s="13"/>
      <c r="L301" s="14"/>
      <c r="M301" s="13"/>
      <c r="N301" s="2"/>
    </row>
    <row r="302" spans="3:14" x14ac:dyDescent="0.25">
      <c r="C302" s="9" t="s">
        <v>82</v>
      </c>
      <c r="D302" s="116">
        <v>70</v>
      </c>
      <c r="E302" s="169"/>
      <c r="J302" s="13"/>
      <c r="L302" s="14"/>
      <c r="M302" s="13"/>
      <c r="N302" s="2"/>
    </row>
    <row r="303" spans="3:14" x14ac:dyDescent="0.25">
      <c r="C303" s="9" t="s">
        <v>83</v>
      </c>
      <c r="D303" s="116">
        <v>97</v>
      </c>
      <c r="E303" s="169"/>
      <c r="J303" s="13"/>
      <c r="L303" s="14"/>
      <c r="M303" s="13"/>
      <c r="N303" s="2"/>
    </row>
    <row r="304" spans="3:14" ht="13.5" thickBot="1" x14ac:dyDescent="0.3">
      <c r="C304" s="11" t="s">
        <v>84</v>
      </c>
      <c r="D304" s="119">
        <v>20</v>
      </c>
      <c r="E304" s="169"/>
      <c r="J304" s="13"/>
      <c r="L304" s="14"/>
      <c r="M304" s="13"/>
      <c r="N304" s="2"/>
    </row>
    <row r="305" spans="1:14" x14ac:dyDescent="0.25">
      <c r="F305" s="3"/>
      <c r="G305" s="2"/>
      <c r="J305" s="13"/>
      <c r="L305" s="14"/>
      <c r="M305" s="13"/>
      <c r="N305" s="2"/>
    </row>
    <row r="307" spans="1:14" x14ac:dyDescent="0.25">
      <c r="A307" s="1" t="s">
        <v>148</v>
      </c>
      <c r="B307" s="2" t="s">
        <v>149</v>
      </c>
    </row>
    <row r="309" spans="1:14" ht="13.5" thickBot="1" x14ac:dyDescent="0.3">
      <c r="C309" s="5" t="s">
        <v>7</v>
      </c>
      <c r="D309" s="6" t="s">
        <v>150</v>
      </c>
      <c r="E309" s="168" t="s">
        <v>151</v>
      </c>
    </row>
    <row r="310" spans="1:14" x14ac:dyDescent="0.25">
      <c r="C310" s="7" t="s">
        <v>10</v>
      </c>
      <c r="D310" s="137">
        <v>80</v>
      </c>
      <c r="E310" s="169"/>
    </row>
    <row r="311" spans="1:14" x14ac:dyDescent="0.25">
      <c r="C311" s="9" t="s">
        <v>11</v>
      </c>
      <c r="D311" s="116">
        <v>50</v>
      </c>
      <c r="E311" s="169"/>
    </row>
    <row r="312" spans="1:14" x14ac:dyDescent="0.25">
      <c r="C312" s="9" t="s">
        <v>12</v>
      </c>
      <c r="D312" s="116">
        <v>60</v>
      </c>
      <c r="E312" s="169"/>
    </row>
    <row r="313" spans="1:14" x14ac:dyDescent="0.25">
      <c r="C313" s="9" t="s">
        <v>13</v>
      </c>
      <c r="D313" s="116">
        <v>90</v>
      </c>
      <c r="E313" s="169"/>
    </row>
    <row r="314" spans="1:14" x14ac:dyDescent="0.25">
      <c r="C314" s="9" t="s">
        <v>79</v>
      </c>
      <c r="D314" s="116">
        <v>20</v>
      </c>
      <c r="E314" s="169"/>
    </row>
    <row r="315" spans="1:14" x14ac:dyDescent="0.25">
      <c r="C315" s="9" t="s">
        <v>80</v>
      </c>
      <c r="D315" s="116">
        <v>40</v>
      </c>
      <c r="E315" s="169"/>
    </row>
    <row r="316" spans="1:14" x14ac:dyDescent="0.25">
      <c r="C316" s="9" t="s">
        <v>81</v>
      </c>
      <c r="D316" s="116">
        <v>10</v>
      </c>
      <c r="E316" s="169"/>
    </row>
    <row r="317" spans="1:14" x14ac:dyDescent="0.25">
      <c r="C317" s="9" t="s">
        <v>82</v>
      </c>
      <c r="D317" s="116">
        <v>80</v>
      </c>
      <c r="E317" s="169"/>
    </row>
    <row r="318" spans="1:14" x14ac:dyDescent="0.25">
      <c r="C318" s="9" t="s">
        <v>83</v>
      </c>
      <c r="D318" s="116">
        <v>30</v>
      </c>
      <c r="E318" s="169"/>
    </row>
    <row r="319" spans="1:14" x14ac:dyDescent="0.25">
      <c r="C319" s="9" t="s">
        <v>84</v>
      </c>
      <c r="D319" s="116">
        <v>10</v>
      </c>
      <c r="E319" s="169"/>
    </row>
    <row r="320" spans="1:14" x14ac:dyDescent="0.25">
      <c r="C320" s="9" t="s">
        <v>10</v>
      </c>
      <c r="D320" s="116">
        <v>75</v>
      </c>
      <c r="E320" s="169"/>
    </row>
    <row r="321" spans="1:5" x14ac:dyDescent="0.25">
      <c r="C321" s="9" t="s">
        <v>11</v>
      </c>
      <c r="D321" s="116">
        <v>30</v>
      </c>
      <c r="E321" s="169"/>
    </row>
    <row r="322" spans="1:5" x14ac:dyDescent="0.25">
      <c r="C322" s="9" t="s">
        <v>12</v>
      </c>
      <c r="D322" s="116">
        <v>70</v>
      </c>
      <c r="E322" s="169"/>
    </row>
    <row r="323" spans="1:5" ht="13.5" thickBot="1" x14ac:dyDescent="0.3">
      <c r="C323" s="11" t="s">
        <v>13</v>
      </c>
      <c r="D323" s="119">
        <v>85</v>
      </c>
      <c r="E323" s="169"/>
    </row>
    <row r="326" spans="1:5" x14ac:dyDescent="0.25">
      <c r="A326" s="1" t="s">
        <v>152</v>
      </c>
      <c r="B326" s="2" t="s">
        <v>153</v>
      </c>
    </row>
    <row r="328" spans="1:5" ht="13.5" thickBot="1" x14ac:dyDescent="0.3">
      <c r="C328" s="5" t="s">
        <v>154</v>
      </c>
      <c r="D328" s="6" t="s">
        <v>155</v>
      </c>
      <c r="E328" s="168" t="s">
        <v>156</v>
      </c>
    </row>
    <row r="329" spans="1:5" x14ac:dyDescent="0.25">
      <c r="C329" s="7" t="s">
        <v>157</v>
      </c>
      <c r="D329" s="137" t="s">
        <v>158</v>
      </c>
      <c r="E329" s="169"/>
    </row>
    <row r="330" spans="1:5" x14ac:dyDescent="0.25">
      <c r="C330" s="9" t="s">
        <v>159</v>
      </c>
      <c r="D330" s="116" t="s">
        <v>160</v>
      </c>
      <c r="E330" s="169"/>
    </row>
    <row r="331" spans="1:5" x14ac:dyDescent="0.25">
      <c r="C331" s="9" t="s">
        <v>161</v>
      </c>
      <c r="D331" s="116" t="s">
        <v>162</v>
      </c>
      <c r="E331" s="169"/>
    </row>
    <row r="332" spans="1:5" x14ac:dyDescent="0.25">
      <c r="C332" s="9" t="s">
        <v>163</v>
      </c>
      <c r="D332" s="116" t="s">
        <v>164</v>
      </c>
      <c r="E332" s="169"/>
    </row>
    <row r="333" spans="1:5" x14ac:dyDescent="0.25">
      <c r="C333" s="9" t="s">
        <v>10</v>
      </c>
      <c r="D333" s="116" t="s">
        <v>165</v>
      </c>
      <c r="E333" s="169"/>
    </row>
    <row r="334" spans="1:5" ht="13.5" thickBot="1" x14ac:dyDescent="0.3">
      <c r="C334" s="11" t="s">
        <v>56</v>
      </c>
      <c r="D334" s="119" t="s">
        <v>166</v>
      </c>
      <c r="E334" s="169"/>
    </row>
    <row r="339" spans="1:5" x14ac:dyDescent="0.25">
      <c r="A339" s="1" t="s">
        <v>167</v>
      </c>
      <c r="B339" s="2" t="s">
        <v>168</v>
      </c>
    </row>
    <row r="342" spans="1:5" ht="13.5" thickBot="1" x14ac:dyDescent="0.3">
      <c r="C342" s="5" t="s">
        <v>169</v>
      </c>
      <c r="D342" s="6" t="s">
        <v>170</v>
      </c>
      <c r="E342" s="168" t="s">
        <v>171</v>
      </c>
    </row>
    <row r="343" spans="1:5" x14ac:dyDescent="0.25">
      <c r="C343" s="7" t="s">
        <v>11</v>
      </c>
      <c r="D343" s="137" t="s">
        <v>13</v>
      </c>
      <c r="E343" s="169"/>
    </row>
    <row r="344" spans="1:5" x14ac:dyDescent="0.25">
      <c r="C344" s="9" t="s">
        <v>10</v>
      </c>
      <c r="D344" s="116" t="s">
        <v>12</v>
      </c>
      <c r="E344" s="169"/>
    </row>
    <row r="345" spans="1:5" x14ac:dyDescent="0.25">
      <c r="C345" s="9" t="s">
        <v>13</v>
      </c>
      <c r="D345" s="116" t="s">
        <v>11</v>
      </c>
      <c r="E345" s="169"/>
    </row>
    <row r="346" spans="1:5" x14ac:dyDescent="0.25">
      <c r="C346" s="9" t="s">
        <v>12</v>
      </c>
      <c r="D346" s="116" t="s">
        <v>56</v>
      </c>
      <c r="E346" s="169"/>
    </row>
    <row r="347" spans="1:5" x14ac:dyDescent="0.25">
      <c r="C347" s="9" t="s">
        <v>56</v>
      </c>
      <c r="D347" s="116" t="s">
        <v>10</v>
      </c>
      <c r="E347" s="169"/>
    </row>
    <row r="348" spans="1:5" x14ac:dyDescent="0.25">
      <c r="C348" s="9" t="s">
        <v>79</v>
      </c>
      <c r="D348" s="116" t="s">
        <v>81</v>
      </c>
      <c r="E348" s="169"/>
    </row>
    <row r="349" spans="1:5" x14ac:dyDescent="0.25">
      <c r="C349" s="9" t="s">
        <v>80</v>
      </c>
      <c r="D349" s="116" t="s">
        <v>79</v>
      </c>
      <c r="E349" s="169"/>
    </row>
    <row r="350" spans="1:5" ht="13.5" thickBot="1" x14ac:dyDescent="0.3">
      <c r="C350" s="11" t="s">
        <v>81</v>
      </c>
      <c r="D350" s="119" t="s">
        <v>80</v>
      </c>
      <c r="E350" s="169"/>
    </row>
    <row r="353" spans="1:8" x14ac:dyDescent="0.25">
      <c r="A353" s="1" t="s">
        <v>172</v>
      </c>
      <c r="B353" s="2" t="s">
        <v>173</v>
      </c>
    </row>
    <row r="354" spans="1:8" ht="13.5" thickBot="1" x14ac:dyDescent="0.3"/>
    <row r="355" spans="1:8" ht="13.5" thickBot="1" x14ac:dyDescent="0.3">
      <c r="C355" s="5" t="s">
        <v>174</v>
      </c>
      <c r="D355" s="15" t="s">
        <v>175</v>
      </c>
      <c r="E355" s="15" t="s">
        <v>176</v>
      </c>
      <c r="F355" s="6" t="s">
        <v>177</v>
      </c>
      <c r="G355" s="174" t="s">
        <v>178</v>
      </c>
      <c r="H355" s="175" t="s">
        <v>179</v>
      </c>
    </row>
    <row r="356" spans="1:8" x14ac:dyDescent="0.25">
      <c r="C356" s="7">
        <v>20</v>
      </c>
      <c r="D356" s="17">
        <v>50</v>
      </c>
      <c r="E356" s="17">
        <v>10</v>
      </c>
      <c r="F356" s="176">
        <v>10</v>
      </c>
      <c r="G356" s="177"/>
      <c r="H356" s="178"/>
    </row>
    <row r="357" spans="1:8" x14ac:dyDescent="0.25">
      <c r="C357" s="9">
        <v>40</v>
      </c>
      <c r="D357" s="21">
        <v>20</v>
      </c>
      <c r="E357" s="21">
        <v>40</v>
      </c>
      <c r="F357" s="179">
        <v>10</v>
      </c>
      <c r="G357" s="180"/>
      <c r="H357" s="108"/>
    </row>
    <row r="358" spans="1:8" x14ac:dyDescent="0.25">
      <c r="C358" s="9">
        <v>10</v>
      </c>
      <c r="D358" s="21">
        <v>10</v>
      </c>
      <c r="E358" s="21">
        <v>99</v>
      </c>
      <c r="F358" s="179">
        <v>20</v>
      </c>
      <c r="G358" s="180"/>
      <c r="H358" s="108"/>
    </row>
    <row r="359" spans="1:8" x14ac:dyDescent="0.25">
      <c r="C359" s="9">
        <v>20</v>
      </c>
      <c r="D359" s="21">
        <v>20</v>
      </c>
      <c r="E359" s="21">
        <v>99</v>
      </c>
      <c r="F359" s="179">
        <v>10</v>
      </c>
      <c r="G359" s="180"/>
      <c r="H359" s="108"/>
    </row>
    <row r="360" spans="1:8" ht="13.5" thickBot="1" x14ac:dyDescent="0.3">
      <c r="C360" s="11">
        <v>10</v>
      </c>
      <c r="D360" s="79">
        <v>20</v>
      </c>
      <c r="E360" s="79">
        <v>20</v>
      </c>
      <c r="F360" s="181">
        <v>99</v>
      </c>
      <c r="G360" s="182"/>
      <c r="H360" s="110"/>
    </row>
    <row r="364" spans="1:8" x14ac:dyDescent="0.25">
      <c r="A364" s="1" t="s">
        <v>180</v>
      </c>
      <c r="B364" s="2" t="s">
        <v>181</v>
      </c>
    </row>
    <row r="367" spans="1:8" ht="13.5" thickBot="1" x14ac:dyDescent="0.3">
      <c r="C367" s="5" t="s">
        <v>182</v>
      </c>
      <c r="D367" s="15" t="s">
        <v>183</v>
      </c>
      <c r="E367" s="6" t="s">
        <v>184</v>
      </c>
      <c r="F367" s="168" t="s">
        <v>185</v>
      </c>
    </row>
    <row r="368" spans="1:8" x14ac:dyDescent="0.25">
      <c r="C368" s="7" t="s">
        <v>186</v>
      </c>
      <c r="D368" s="183">
        <v>11500</v>
      </c>
      <c r="E368" s="184">
        <v>0.17499999999999999</v>
      </c>
      <c r="F368" s="185"/>
      <c r="G368" s="186"/>
    </row>
    <row r="369" spans="3:8" x14ac:dyDescent="0.25">
      <c r="C369" s="9" t="s">
        <v>187</v>
      </c>
      <c r="D369" s="187">
        <v>12500</v>
      </c>
      <c r="E369" s="188">
        <v>0.10299999999999999</v>
      </c>
      <c r="F369" s="189"/>
      <c r="G369" s="186"/>
    </row>
    <row r="370" spans="3:8" ht="13.5" thickBot="1" x14ac:dyDescent="0.3">
      <c r="C370" s="11" t="s">
        <v>188</v>
      </c>
      <c r="D370" s="190">
        <v>13200</v>
      </c>
      <c r="E370" s="191">
        <v>0.1236</v>
      </c>
      <c r="F370" s="192"/>
      <c r="G370" s="186"/>
    </row>
    <row r="373" spans="3:8" ht="26.25" thickBot="1" x14ac:dyDescent="0.3">
      <c r="C373" s="5" t="s">
        <v>182</v>
      </c>
      <c r="D373" s="15" t="s">
        <v>185</v>
      </c>
      <c r="E373" s="6" t="s">
        <v>184</v>
      </c>
      <c r="F373" s="193" t="s">
        <v>189</v>
      </c>
    </row>
    <row r="374" spans="3:8" x14ac:dyDescent="0.25">
      <c r="C374" s="7" t="s">
        <v>186</v>
      </c>
      <c r="D374" s="183">
        <v>250</v>
      </c>
      <c r="E374" s="184">
        <v>0.17499999999999999</v>
      </c>
      <c r="F374" s="194"/>
      <c r="G374" s="186"/>
      <c r="H374" s="195"/>
    </row>
    <row r="375" spans="3:8" x14ac:dyDescent="0.25">
      <c r="C375" s="9" t="s">
        <v>187</v>
      </c>
      <c r="D375" s="187">
        <v>280</v>
      </c>
      <c r="E375" s="188">
        <v>0.17499999999999999</v>
      </c>
      <c r="F375" s="196"/>
      <c r="G375" s="186"/>
    </row>
    <row r="376" spans="3:8" x14ac:dyDescent="0.25">
      <c r="C376" s="9" t="s">
        <v>188</v>
      </c>
      <c r="D376" s="187">
        <v>320</v>
      </c>
      <c r="E376" s="188">
        <v>0.10299999999999999</v>
      </c>
      <c r="F376" s="196"/>
      <c r="G376" s="186"/>
    </row>
    <row r="377" spans="3:8" x14ac:dyDescent="0.25">
      <c r="C377" s="9" t="s">
        <v>190</v>
      </c>
      <c r="D377" s="187">
        <v>750</v>
      </c>
      <c r="E377" s="188">
        <v>0.1236</v>
      </c>
      <c r="F377" s="196"/>
      <c r="G377" s="186"/>
    </row>
    <row r="378" spans="3:8" x14ac:dyDescent="0.25">
      <c r="C378" s="9" t="s">
        <v>191</v>
      </c>
      <c r="D378" s="187">
        <v>550</v>
      </c>
      <c r="E378" s="188">
        <v>0.17499999999999999</v>
      </c>
      <c r="F378" s="196"/>
      <c r="G378" s="186"/>
    </row>
    <row r="379" spans="3:8" ht="13.5" thickBot="1" x14ac:dyDescent="0.3">
      <c r="C379" s="11" t="s">
        <v>192</v>
      </c>
      <c r="D379" s="190">
        <v>800</v>
      </c>
      <c r="E379" s="191">
        <v>0.10299999999999999</v>
      </c>
      <c r="F379" s="197"/>
      <c r="G379" s="186"/>
    </row>
    <row r="382" spans="3:8" ht="39.75" customHeight="1" thickBot="1" x14ac:dyDescent="0.3">
      <c r="C382" s="5" t="s">
        <v>182</v>
      </c>
      <c r="D382" s="15" t="s">
        <v>185</v>
      </c>
      <c r="E382" s="6" t="s">
        <v>184</v>
      </c>
      <c r="F382" s="193" t="s">
        <v>193</v>
      </c>
    </row>
    <row r="383" spans="3:8" x14ac:dyDescent="0.25">
      <c r="C383" s="7" t="s">
        <v>186</v>
      </c>
      <c r="D383" s="183">
        <v>225</v>
      </c>
      <c r="E383" s="184">
        <v>0.17499999999999999</v>
      </c>
      <c r="F383" s="194"/>
      <c r="G383" s="198"/>
      <c r="H383" s="195"/>
    </row>
    <row r="384" spans="3:8" x14ac:dyDescent="0.25">
      <c r="C384" s="9" t="s">
        <v>187</v>
      </c>
      <c r="D384" s="187">
        <v>180</v>
      </c>
      <c r="E384" s="188">
        <v>0.17499999999999999</v>
      </c>
      <c r="F384" s="196"/>
      <c r="G384" s="199"/>
      <c r="H384" s="51"/>
    </row>
    <row r="385" spans="1:16" x14ac:dyDescent="0.25">
      <c r="C385" s="9" t="s">
        <v>188</v>
      </c>
      <c r="D385" s="187">
        <v>430</v>
      </c>
      <c r="E385" s="188">
        <v>0.10299999999999999</v>
      </c>
      <c r="F385" s="196"/>
      <c r="H385" s="200"/>
    </row>
    <row r="386" spans="1:16" x14ac:dyDescent="0.25">
      <c r="C386" s="9" t="s">
        <v>190</v>
      </c>
      <c r="D386" s="187">
        <v>340</v>
      </c>
      <c r="E386" s="188">
        <v>0.1236</v>
      </c>
      <c r="F386" s="196"/>
    </row>
    <row r="387" spans="1:16" x14ac:dyDescent="0.25">
      <c r="C387" s="9" t="s">
        <v>191</v>
      </c>
      <c r="D387" s="187">
        <v>730</v>
      </c>
      <c r="E387" s="188">
        <v>0.17499999999999999</v>
      </c>
      <c r="F387" s="196"/>
    </row>
    <row r="388" spans="1:16" ht="13.5" thickBot="1" x14ac:dyDescent="0.3">
      <c r="C388" s="11" t="s">
        <v>192</v>
      </c>
      <c r="D388" s="190">
        <v>670</v>
      </c>
      <c r="E388" s="191">
        <v>0.10299999999999999</v>
      </c>
      <c r="F388" s="197"/>
    </row>
    <row r="391" spans="1:16" ht="15" x14ac:dyDescent="0.25">
      <c r="A391" s="1" t="s">
        <v>194</v>
      </c>
      <c r="B391" s="2" t="s">
        <v>195</v>
      </c>
      <c r="I391"/>
      <c r="J391"/>
      <c r="K391"/>
      <c r="L391"/>
      <c r="M391"/>
      <c r="N391"/>
      <c r="O391"/>
      <c r="P391"/>
    </row>
    <row r="392" spans="1:16" ht="15" x14ac:dyDescent="0.25">
      <c r="I392"/>
      <c r="J392"/>
      <c r="K392"/>
      <c r="L392"/>
      <c r="M392"/>
      <c r="N392"/>
      <c r="O392"/>
      <c r="P392"/>
    </row>
    <row r="393" spans="1:16" ht="15" x14ac:dyDescent="0.25">
      <c r="B393" s="2" t="s">
        <v>196</v>
      </c>
      <c r="I393"/>
      <c r="J393"/>
      <c r="K393"/>
      <c r="L393"/>
      <c r="M393"/>
      <c r="N393"/>
      <c r="O393"/>
      <c r="P393"/>
    </row>
    <row r="394" spans="1:16" ht="15" x14ac:dyDescent="0.25">
      <c r="B394" s="2" t="s">
        <v>197</v>
      </c>
      <c r="I394"/>
      <c r="J394"/>
      <c r="K394"/>
      <c r="L394"/>
      <c r="M394"/>
      <c r="N394"/>
      <c r="O394"/>
      <c r="P394"/>
    </row>
    <row r="395" spans="1:16" ht="15" x14ac:dyDescent="0.25">
      <c r="B395" s="2" t="s">
        <v>198</v>
      </c>
      <c r="I395"/>
      <c r="J395"/>
      <c r="K395"/>
      <c r="L395"/>
      <c r="M395"/>
      <c r="N395"/>
      <c r="O395"/>
      <c r="P395"/>
    </row>
    <row r="398" spans="1:16" ht="15" x14ac:dyDescent="0.25">
      <c r="A398" s="201"/>
      <c r="D398"/>
    </row>
    <row r="399" spans="1:16" ht="15" x14ac:dyDescent="0.25">
      <c r="A399" s="1" t="s">
        <v>199</v>
      </c>
      <c r="B399" s="2" t="s">
        <v>200</v>
      </c>
      <c r="D399"/>
    </row>
    <row r="400" spans="1:16" ht="15" x14ac:dyDescent="0.25">
      <c r="A400" s="202"/>
      <c r="B400"/>
      <c r="C400"/>
      <c r="D400"/>
      <c r="E400"/>
      <c r="F400"/>
      <c r="G400"/>
      <c r="H400"/>
      <c r="I400"/>
      <c r="J400"/>
      <c r="K400"/>
      <c r="L400"/>
      <c r="M400"/>
    </row>
    <row r="401" spans="2:13" ht="15.75" thickBot="1" x14ac:dyDescent="0.3">
      <c r="B401"/>
      <c r="C401"/>
      <c r="D401"/>
      <c r="E401"/>
      <c r="F401"/>
      <c r="G401"/>
      <c r="H401"/>
      <c r="I401"/>
      <c r="J401"/>
      <c r="K401"/>
      <c r="L401"/>
      <c r="M401"/>
    </row>
    <row r="402" spans="2:13" ht="15.75" thickBot="1" x14ac:dyDescent="0.3">
      <c r="B402"/>
      <c r="C402" s="38" t="s">
        <v>77</v>
      </c>
      <c r="D402" s="36" t="s">
        <v>116</v>
      </c>
      <c r="E402" s="15" t="s">
        <v>117</v>
      </c>
      <c r="F402" s="15" t="s">
        <v>128</v>
      </c>
      <c r="G402" s="15" t="s">
        <v>129</v>
      </c>
      <c r="H402" s="37" t="s">
        <v>118</v>
      </c>
      <c r="I402" s="38" t="s">
        <v>16</v>
      </c>
      <c r="J402"/>
      <c r="K402"/>
      <c r="L402"/>
      <c r="M402"/>
    </row>
    <row r="403" spans="2:13" ht="15" x14ac:dyDescent="0.25">
      <c r="B403"/>
      <c r="C403" s="93" t="s">
        <v>119</v>
      </c>
      <c r="D403" s="134">
        <v>500</v>
      </c>
      <c r="E403" s="130">
        <v>450</v>
      </c>
      <c r="F403" s="130">
        <v>350</v>
      </c>
      <c r="G403" s="130">
        <v>150</v>
      </c>
      <c r="H403" s="148">
        <v>600</v>
      </c>
      <c r="I403" s="149">
        <f t="shared" ref="I403:I407" si="12">SUM(D403:H403)</f>
        <v>2050</v>
      </c>
      <c r="J403"/>
      <c r="K403"/>
      <c r="L403"/>
      <c r="M403"/>
    </row>
    <row r="404" spans="2:13" ht="15" x14ac:dyDescent="0.25">
      <c r="B404"/>
      <c r="C404" s="97" t="s">
        <v>120</v>
      </c>
      <c r="D404" s="135">
        <v>1000</v>
      </c>
      <c r="E404" s="131">
        <v>1200</v>
      </c>
      <c r="F404" s="131">
        <v>1150</v>
      </c>
      <c r="G404" s="131">
        <v>170</v>
      </c>
      <c r="H404" s="150">
        <v>800</v>
      </c>
      <c r="I404" s="151">
        <f t="shared" si="12"/>
        <v>4320</v>
      </c>
      <c r="J404"/>
      <c r="K404"/>
      <c r="L404"/>
      <c r="M404"/>
    </row>
    <row r="405" spans="2:13" ht="15" x14ac:dyDescent="0.25">
      <c r="B405"/>
      <c r="C405" s="97" t="s">
        <v>121</v>
      </c>
      <c r="D405" s="135">
        <v>250</v>
      </c>
      <c r="E405" s="131">
        <v>350</v>
      </c>
      <c r="F405" s="131">
        <v>270</v>
      </c>
      <c r="G405" s="131">
        <v>230</v>
      </c>
      <c r="H405" s="150">
        <v>275</v>
      </c>
      <c r="I405" s="151">
        <f t="shared" si="12"/>
        <v>1375</v>
      </c>
      <c r="J405"/>
      <c r="K405"/>
      <c r="L405"/>
      <c r="M405"/>
    </row>
    <row r="406" spans="2:13" ht="15" x14ac:dyDescent="0.25">
      <c r="B406"/>
      <c r="C406" s="97" t="s">
        <v>122</v>
      </c>
      <c r="D406" s="135">
        <v>50</v>
      </c>
      <c r="E406" s="131">
        <v>70</v>
      </c>
      <c r="F406" s="131">
        <v>35</v>
      </c>
      <c r="G406" s="131">
        <v>55</v>
      </c>
      <c r="H406" s="150">
        <v>45</v>
      </c>
      <c r="I406" s="151">
        <f t="shared" si="12"/>
        <v>255</v>
      </c>
      <c r="J406"/>
      <c r="K406"/>
      <c r="L406"/>
      <c r="M406"/>
    </row>
    <row r="407" spans="2:13" ht="15.75" thickBot="1" x14ac:dyDescent="0.3">
      <c r="B407"/>
      <c r="C407" s="152" t="s">
        <v>123</v>
      </c>
      <c r="D407" s="153">
        <v>300</v>
      </c>
      <c r="E407" s="154">
        <v>290</v>
      </c>
      <c r="F407" s="154">
        <v>180</v>
      </c>
      <c r="G407" s="154">
        <v>225</v>
      </c>
      <c r="H407" s="155">
        <v>310</v>
      </c>
      <c r="I407" s="156">
        <f t="shared" si="12"/>
        <v>1305</v>
      </c>
      <c r="J407"/>
      <c r="K407"/>
      <c r="L407"/>
      <c r="M407"/>
    </row>
    <row r="408" spans="2:13" ht="15.75" thickBot="1" x14ac:dyDescent="0.3">
      <c r="B408"/>
      <c r="C408" s="157" t="s">
        <v>16</v>
      </c>
      <c r="D408" s="158">
        <f>SUM(D403:D407)</f>
        <v>2100</v>
      </c>
      <c r="E408" s="159">
        <f t="shared" ref="E408:I408" si="13">SUM(E403:E407)</f>
        <v>2360</v>
      </c>
      <c r="F408" s="159">
        <f t="shared" si="13"/>
        <v>1985</v>
      </c>
      <c r="G408" s="159">
        <f t="shared" si="13"/>
        <v>830</v>
      </c>
      <c r="H408" s="160">
        <f t="shared" si="13"/>
        <v>2030</v>
      </c>
      <c r="I408" s="161">
        <f t="shared" si="13"/>
        <v>9305</v>
      </c>
      <c r="J408"/>
      <c r="K408"/>
      <c r="L408"/>
      <c r="M408"/>
    </row>
    <row r="409" spans="2:13" ht="15" x14ac:dyDescent="0.25">
      <c r="B409"/>
      <c r="C409"/>
      <c r="D409"/>
      <c r="E409"/>
      <c r="F409"/>
      <c r="G409"/>
      <c r="H409"/>
      <c r="I409"/>
      <c r="J409"/>
      <c r="K409"/>
      <c r="L409"/>
      <c r="M409"/>
    </row>
    <row r="410" spans="2:13" ht="15" x14ac:dyDescent="0.25">
      <c r="B410"/>
      <c r="C410"/>
      <c r="D410"/>
      <c r="E410"/>
      <c r="F410"/>
      <c r="G410"/>
      <c r="H410"/>
      <c r="I410"/>
      <c r="J410"/>
      <c r="K410"/>
      <c r="L410"/>
      <c r="M410"/>
    </row>
    <row r="411" spans="2:13" ht="15" x14ac:dyDescent="0.25">
      <c r="B411"/>
      <c r="C411"/>
      <c r="D411"/>
      <c r="E411"/>
      <c r="F411"/>
      <c r="G411"/>
      <c r="H411"/>
      <c r="I411"/>
      <c r="J411"/>
      <c r="K411"/>
      <c r="L411"/>
      <c r="M411"/>
    </row>
    <row r="412" spans="2:13" ht="15" x14ac:dyDescent="0.25">
      <c r="B412"/>
      <c r="C412"/>
      <c r="D412"/>
      <c r="E412"/>
      <c r="F412"/>
      <c r="G412"/>
      <c r="H412"/>
      <c r="I412"/>
      <c r="J412"/>
      <c r="K412"/>
      <c r="L412"/>
      <c r="M412"/>
    </row>
    <row r="413" spans="2:13" ht="15" x14ac:dyDescent="0.25">
      <c r="B413"/>
      <c r="C413"/>
      <c r="D413"/>
      <c r="E413"/>
      <c r="F413"/>
      <c r="G413"/>
      <c r="H413"/>
      <c r="I413"/>
      <c r="J413"/>
      <c r="K413"/>
      <c r="L413"/>
      <c r="M413"/>
    </row>
    <row r="414" spans="2:13" ht="15" x14ac:dyDescent="0.25">
      <c r="B414"/>
      <c r="C414"/>
      <c r="D414"/>
      <c r="E414"/>
      <c r="F414"/>
      <c r="G414"/>
      <c r="H414"/>
      <c r="I414"/>
      <c r="J414"/>
      <c r="K414"/>
      <c r="L414"/>
      <c r="M414"/>
    </row>
    <row r="415" spans="2:13" ht="15" x14ac:dyDescent="0.25">
      <c r="B415"/>
      <c r="C415"/>
      <c r="D415"/>
      <c r="E415"/>
      <c r="F415"/>
      <c r="G415"/>
      <c r="H415"/>
      <c r="I415"/>
      <c r="J415"/>
      <c r="K415"/>
      <c r="L415"/>
      <c r="M415"/>
    </row>
    <row r="418" spans="1:21" ht="15" x14ac:dyDescent="0.25">
      <c r="A418" s="202"/>
      <c r="B418"/>
      <c r="C418"/>
      <c r="D418"/>
      <c r="E418"/>
      <c r="F418"/>
      <c r="G418"/>
      <c r="H418"/>
      <c r="I418"/>
      <c r="J418"/>
      <c r="K418"/>
      <c r="M418"/>
      <c r="N418"/>
    </row>
    <row r="419" spans="1:21" ht="15" x14ac:dyDescent="0.25">
      <c r="B419"/>
      <c r="C419"/>
      <c r="D419"/>
      <c r="E419"/>
      <c r="F419"/>
      <c r="G419"/>
      <c r="H419"/>
      <c r="I419"/>
      <c r="J419"/>
      <c r="K419"/>
    </row>
    <row r="420" spans="1:21" ht="15" x14ac:dyDescent="0.25">
      <c r="B420"/>
      <c r="C420"/>
      <c r="D420"/>
      <c r="E420"/>
      <c r="F420"/>
      <c r="G420"/>
      <c r="H420"/>
      <c r="I420"/>
      <c r="J420"/>
      <c r="K420"/>
      <c r="L420" s="202"/>
      <c r="M420"/>
      <c r="N420"/>
      <c r="O420"/>
      <c r="P420"/>
      <c r="Q420"/>
      <c r="R420"/>
      <c r="S420"/>
      <c r="T420"/>
      <c r="U420"/>
    </row>
    <row r="421" spans="1:21" ht="15" x14ac:dyDescent="0.25">
      <c r="B421"/>
      <c r="C421"/>
      <c r="D421"/>
      <c r="E421"/>
      <c r="F421"/>
      <c r="G421"/>
      <c r="H421"/>
      <c r="I421"/>
      <c r="J421"/>
      <c r="K421"/>
      <c r="L421" s="4"/>
      <c r="M421"/>
      <c r="N421"/>
      <c r="O421"/>
      <c r="P421"/>
      <c r="Q421"/>
      <c r="R421"/>
      <c r="S421"/>
      <c r="T421"/>
      <c r="U421"/>
    </row>
    <row r="422" spans="1:21" ht="15" x14ac:dyDescent="0.25">
      <c r="B422"/>
      <c r="C422"/>
      <c r="D422"/>
      <c r="E422"/>
      <c r="F422"/>
      <c r="G422"/>
      <c r="H422"/>
      <c r="I422"/>
      <c r="J422"/>
      <c r="K422"/>
      <c r="L422" s="4"/>
      <c r="M422"/>
      <c r="N422"/>
      <c r="O422"/>
      <c r="P422"/>
      <c r="Q422"/>
      <c r="R422"/>
      <c r="S422"/>
      <c r="T422"/>
      <c r="U422"/>
    </row>
    <row r="423" spans="1:21" ht="15" x14ac:dyDescent="0.25">
      <c r="B423"/>
      <c r="C423"/>
      <c r="D423"/>
      <c r="E423"/>
      <c r="F423"/>
      <c r="G423"/>
      <c r="H423"/>
      <c r="I423"/>
      <c r="J423"/>
      <c r="K423"/>
      <c r="L423" s="4"/>
      <c r="M423"/>
      <c r="N423"/>
      <c r="O423"/>
      <c r="P423"/>
      <c r="Q423"/>
      <c r="R423"/>
      <c r="S423"/>
      <c r="T423"/>
      <c r="U423"/>
    </row>
    <row r="424" spans="1:21" ht="15" x14ac:dyDescent="0.25">
      <c r="B424"/>
      <c r="C424"/>
      <c r="D424"/>
      <c r="E424"/>
      <c r="F424"/>
      <c r="G424"/>
      <c r="H424"/>
      <c r="I424"/>
      <c r="J424"/>
      <c r="K424"/>
      <c r="L424" s="4"/>
      <c r="M424"/>
      <c r="N424"/>
      <c r="O424"/>
      <c r="P424"/>
      <c r="Q424"/>
      <c r="R424"/>
      <c r="S424"/>
      <c r="T424"/>
      <c r="U424"/>
    </row>
    <row r="425" spans="1:21" ht="15" x14ac:dyDescent="0.25">
      <c r="B425"/>
      <c r="C425"/>
      <c r="D425"/>
      <c r="E425"/>
      <c r="F425"/>
      <c r="G425"/>
      <c r="H425"/>
      <c r="I425"/>
      <c r="J425"/>
      <c r="K425"/>
      <c r="L425" s="4"/>
      <c r="M425"/>
      <c r="N425"/>
      <c r="O425"/>
      <c r="P425"/>
      <c r="Q425"/>
      <c r="R425"/>
      <c r="S425"/>
      <c r="T425"/>
      <c r="U425"/>
    </row>
    <row r="426" spans="1:21" ht="15" x14ac:dyDescent="0.25">
      <c r="B426"/>
      <c r="C426"/>
      <c r="D426"/>
      <c r="E426"/>
      <c r="F426"/>
      <c r="G426"/>
      <c r="H426"/>
      <c r="I426"/>
      <c r="J426"/>
      <c r="K426"/>
      <c r="L426" s="4"/>
      <c r="M426"/>
      <c r="N426"/>
      <c r="O426"/>
      <c r="P426"/>
      <c r="Q426"/>
      <c r="R426"/>
      <c r="S426"/>
      <c r="T426"/>
      <c r="U426"/>
    </row>
    <row r="427" spans="1:21" ht="15" x14ac:dyDescent="0.25">
      <c r="B427"/>
      <c r="C427"/>
      <c r="D427"/>
      <c r="E427"/>
      <c r="F427"/>
      <c r="G427"/>
      <c r="H427"/>
      <c r="I427"/>
      <c r="J427"/>
      <c r="K427"/>
      <c r="L427" s="4"/>
      <c r="M427"/>
      <c r="N427"/>
      <c r="O427"/>
      <c r="P427"/>
      <c r="Q427"/>
      <c r="R427"/>
      <c r="S427"/>
      <c r="T427"/>
      <c r="U427"/>
    </row>
    <row r="428" spans="1:21" ht="15" x14ac:dyDescent="0.25">
      <c r="B428"/>
      <c r="C428"/>
      <c r="D428"/>
      <c r="E428"/>
      <c r="F428"/>
      <c r="G428"/>
      <c r="H428"/>
      <c r="I428"/>
      <c r="J428"/>
      <c r="K428"/>
      <c r="L428" s="4"/>
      <c r="M428"/>
      <c r="N428"/>
      <c r="O428"/>
      <c r="P428"/>
      <c r="Q428"/>
      <c r="R428"/>
      <c r="S428"/>
      <c r="T428"/>
      <c r="U428"/>
    </row>
    <row r="429" spans="1:21" ht="15" x14ac:dyDescent="0.25">
      <c r="B429"/>
      <c r="C429"/>
      <c r="D429"/>
      <c r="E429"/>
      <c r="F429"/>
      <c r="G429"/>
      <c r="H429"/>
      <c r="I429"/>
      <c r="J429"/>
      <c r="K429"/>
      <c r="L429" s="4"/>
      <c r="M429"/>
      <c r="N429"/>
      <c r="O429"/>
      <c r="P429"/>
      <c r="Q429"/>
      <c r="R429"/>
      <c r="S429"/>
      <c r="T429"/>
      <c r="U429"/>
    </row>
    <row r="430" spans="1:21" ht="15" x14ac:dyDescent="0.25">
      <c r="B430"/>
      <c r="C430"/>
      <c r="D430"/>
      <c r="E430"/>
      <c r="F430"/>
      <c r="G430"/>
      <c r="H430"/>
      <c r="I430"/>
      <c r="J430"/>
      <c r="K430"/>
      <c r="L430" s="4"/>
      <c r="M430"/>
      <c r="N430"/>
      <c r="O430"/>
      <c r="P430"/>
      <c r="Q430"/>
      <c r="R430"/>
      <c r="S430"/>
      <c r="T430"/>
      <c r="U430"/>
    </row>
    <row r="431" spans="1:21" ht="15" x14ac:dyDescent="0.25">
      <c r="B431"/>
      <c r="C431"/>
      <c r="D431"/>
      <c r="E431"/>
      <c r="F431"/>
      <c r="G431"/>
      <c r="H431"/>
      <c r="I431"/>
      <c r="J431"/>
      <c r="K431"/>
      <c r="L431" s="4"/>
      <c r="M431"/>
      <c r="N431"/>
      <c r="O431"/>
      <c r="P431"/>
      <c r="Q431"/>
      <c r="R431"/>
      <c r="S431"/>
      <c r="T431"/>
      <c r="U431"/>
    </row>
    <row r="432" spans="1:21" ht="15" x14ac:dyDescent="0.25">
      <c r="B432"/>
      <c r="C432"/>
      <c r="D432"/>
      <c r="E432"/>
      <c r="F432"/>
      <c r="G432"/>
      <c r="H432"/>
      <c r="I432"/>
      <c r="J432"/>
      <c r="K432"/>
      <c r="L432" s="4"/>
      <c r="M432"/>
      <c r="N432"/>
      <c r="O432"/>
      <c r="P432"/>
      <c r="Q432"/>
      <c r="R432"/>
      <c r="S432"/>
      <c r="T432"/>
      <c r="U432"/>
    </row>
    <row r="433" spans="2:21" ht="15" x14ac:dyDescent="0.25">
      <c r="B433"/>
      <c r="C433"/>
      <c r="D433"/>
      <c r="E433"/>
      <c r="F433"/>
      <c r="G433"/>
      <c r="H433"/>
      <c r="I433"/>
      <c r="J433"/>
      <c r="K433"/>
      <c r="L433" s="4"/>
      <c r="M433"/>
      <c r="N433"/>
      <c r="O433"/>
      <c r="P433"/>
      <c r="Q433"/>
      <c r="R433"/>
      <c r="S433"/>
      <c r="T433"/>
      <c r="U433"/>
    </row>
    <row r="434" spans="2:21" ht="15" x14ac:dyDescent="0.25">
      <c r="B434"/>
      <c r="C434"/>
      <c r="D434"/>
      <c r="E434"/>
      <c r="F434"/>
      <c r="G434"/>
      <c r="H434"/>
      <c r="I434"/>
      <c r="J434"/>
      <c r="L434" s="4"/>
      <c r="M434"/>
      <c r="N434"/>
      <c r="O434"/>
      <c r="P434"/>
      <c r="Q434"/>
      <c r="R434"/>
      <c r="S434"/>
      <c r="T434"/>
      <c r="U434"/>
    </row>
    <row r="435" spans="2:21" ht="15" x14ac:dyDescent="0.25">
      <c r="B435"/>
      <c r="C435"/>
      <c r="D435"/>
      <c r="E435"/>
      <c r="F435"/>
      <c r="G435"/>
      <c r="H435"/>
      <c r="I435"/>
      <c r="J435"/>
      <c r="L435" s="4"/>
      <c r="M435"/>
      <c r="N435"/>
      <c r="O435"/>
      <c r="P435"/>
      <c r="Q435"/>
      <c r="R435"/>
      <c r="S435"/>
      <c r="T435"/>
      <c r="U435"/>
    </row>
    <row r="436" spans="2:21" ht="15" x14ac:dyDescent="0.25">
      <c r="B436"/>
      <c r="C436"/>
      <c r="D436"/>
      <c r="E436"/>
      <c r="F436"/>
      <c r="G436"/>
      <c r="H436"/>
      <c r="I436"/>
      <c r="J436"/>
      <c r="L436" s="4"/>
      <c r="M436"/>
      <c r="N436"/>
      <c r="O436"/>
      <c r="P436"/>
      <c r="Q436"/>
      <c r="R436"/>
      <c r="S436"/>
      <c r="T436"/>
      <c r="U436"/>
    </row>
    <row r="437" spans="2:21" ht="15" x14ac:dyDescent="0.25">
      <c r="B437"/>
      <c r="C437"/>
      <c r="D437"/>
      <c r="E437"/>
      <c r="F437"/>
      <c r="G437"/>
      <c r="H437"/>
      <c r="I437"/>
      <c r="J437"/>
      <c r="L437" s="4"/>
      <c r="M437"/>
      <c r="N437"/>
      <c r="O437"/>
      <c r="P437"/>
      <c r="Q437"/>
      <c r="R437"/>
      <c r="S437"/>
      <c r="T437"/>
      <c r="U437"/>
    </row>
    <row r="438" spans="2:21" ht="15" x14ac:dyDescent="0.25">
      <c r="B438"/>
      <c r="C438"/>
      <c r="D438"/>
      <c r="E438"/>
      <c r="F438"/>
      <c r="G438"/>
      <c r="H438"/>
      <c r="I438"/>
      <c r="J438"/>
      <c r="L438" s="4"/>
      <c r="M438"/>
      <c r="N438"/>
      <c r="O438"/>
      <c r="P438"/>
      <c r="Q438"/>
      <c r="R438"/>
      <c r="S438"/>
      <c r="T438"/>
      <c r="U438"/>
    </row>
    <row r="439" spans="2:21" ht="15" x14ac:dyDescent="0.25">
      <c r="B439"/>
      <c r="C439"/>
      <c r="D439"/>
      <c r="E439"/>
      <c r="F439"/>
      <c r="G439"/>
      <c r="H439"/>
      <c r="I439"/>
      <c r="J439"/>
      <c r="L439" s="4"/>
      <c r="M439"/>
      <c r="N439"/>
      <c r="O439"/>
      <c r="P439"/>
      <c r="Q439"/>
      <c r="R439"/>
      <c r="S439"/>
      <c r="T439"/>
      <c r="U439"/>
    </row>
    <row r="440" spans="2:21" ht="15" x14ac:dyDescent="0.25">
      <c r="B440"/>
      <c r="C440"/>
      <c r="D440"/>
      <c r="E440"/>
      <c r="F440"/>
      <c r="G440"/>
      <c r="H440"/>
      <c r="I440"/>
      <c r="J440"/>
      <c r="L440" s="4"/>
      <c r="M440"/>
      <c r="N440"/>
      <c r="O440"/>
      <c r="P440"/>
      <c r="Q440"/>
      <c r="R440"/>
      <c r="S440"/>
      <c r="T440"/>
      <c r="U440"/>
    </row>
    <row r="441" spans="2:21" ht="15" x14ac:dyDescent="0.25">
      <c r="B441"/>
      <c r="C441"/>
      <c r="D441"/>
      <c r="E441"/>
      <c r="F441"/>
      <c r="G441"/>
      <c r="H441"/>
      <c r="I441"/>
      <c r="J441"/>
      <c r="L441" s="4"/>
      <c r="M441"/>
      <c r="N441"/>
      <c r="O441"/>
      <c r="P441"/>
      <c r="Q441"/>
      <c r="R441"/>
      <c r="S441"/>
      <c r="T441"/>
      <c r="U441"/>
    </row>
    <row r="442" spans="2:21" ht="15" x14ac:dyDescent="0.25">
      <c r="B442"/>
      <c r="C442"/>
      <c r="D442"/>
      <c r="E442"/>
      <c r="F442"/>
      <c r="G442"/>
      <c r="H442"/>
      <c r="I442"/>
      <c r="J442"/>
      <c r="L442" s="4"/>
      <c r="M442"/>
      <c r="N442"/>
      <c r="O442"/>
      <c r="P442"/>
      <c r="Q442"/>
      <c r="R442"/>
      <c r="S442"/>
      <c r="T442"/>
      <c r="U442"/>
    </row>
    <row r="443" spans="2:21" ht="15" x14ac:dyDescent="0.25">
      <c r="B443"/>
      <c r="C443"/>
      <c r="D443"/>
      <c r="E443"/>
      <c r="F443"/>
      <c r="G443"/>
      <c r="H443"/>
      <c r="I443"/>
      <c r="J443"/>
      <c r="L443" s="4"/>
      <c r="M443"/>
      <c r="N443"/>
      <c r="O443"/>
      <c r="P443"/>
      <c r="Q443"/>
      <c r="R443"/>
      <c r="S443"/>
      <c r="T443"/>
      <c r="U443"/>
    </row>
    <row r="444" spans="2:21" ht="15" x14ac:dyDescent="0.25">
      <c r="B444"/>
      <c r="C444"/>
      <c r="D444"/>
      <c r="E444"/>
      <c r="F444"/>
      <c r="G444"/>
      <c r="H444"/>
      <c r="I444"/>
      <c r="J444"/>
      <c r="L444" s="4"/>
      <c r="M444"/>
      <c r="N444"/>
      <c r="O444"/>
      <c r="P444"/>
      <c r="Q444"/>
      <c r="R444"/>
      <c r="S444"/>
      <c r="T444"/>
      <c r="U444"/>
    </row>
    <row r="445" spans="2:21" ht="15" x14ac:dyDescent="0.25">
      <c r="B445"/>
      <c r="C445"/>
      <c r="D445"/>
      <c r="E445"/>
      <c r="F445"/>
      <c r="G445"/>
      <c r="H445"/>
      <c r="I445"/>
      <c r="J445"/>
      <c r="L445" s="4"/>
      <c r="M445"/>
      <c r="N445"/>
      <c r="O445"/>
      <c r="P445"/>
      <c r="Q445"/>
      <c r="R445"/>
      <c r="S445"/>
      <c r="T445"/>
      <c r="U445"/>
    </row>
    <row r="446" spans="2:21" ht="15" x14ac:dyDescent="0.25">
      <c r="B446"/>
      <c r="C446"/>
      <c r="D446"/>
      <c r="E446"/>
      <c r="F446"/>
      <c r="G446"/>
      <c r="H446"/>
      <c r="I446"/>
      <c r="J446"/>
      <c r="L446" s="4"/>
      <c r="M446"/>
      <c r="N446"/>
      <c r="O446"/>
      <c r="P446"/>
      <c r="Q446"/>
      <c r="R446"/>
      <c r="S446"/>
      <c r="T446"/>
      <c r="U446"/>
    </row>
    <row r="447" spans="2:21" ht="15" x14ac:dyDescent="0.25">
      <c r="B447"/>
      <c r="C447"/>
      <c r="D447"/>
      <c r="E447"/>
      <c r="F447"/>
      <c r="G447"/>
      <c r="H447"/>
      <c r="I447"/>
      <c r="J447"/>
      <c r="L447" s="4"/>
      <c r="M447"/>
      <c r="N447"/>
      <c r="O447"/>
      <c r="P447"/>
      <c r="Q447"/>
      <c r="R447"/>
      <c r="S447"/>
      <c r="T447"/>
      <c r="U447"/>
    </row>
    <row r="448" spans="2:21" ht="15" x14ac:dyDescent="0.25">
      <c r="B448"/>
      <c r="C448"/>
      <c r="D448"/>
      <c r="E448"/>
      <c r="F448"/>
      <c r="G448"/>
      <c r="H448"/>
      <c r="I448"/>
      <c r="J448"/>
      <c r="L448" s="4"/>
      <c r="M448"/>
      <c r="N448"/>
      <c r="O448"/>
      <c r="P448"/>
      <c r="Q448"/>
      <c r="R448"/>
      <c r="S448"/>
      <c r="T448"/>
      <c r="U448"/>
    </row>
    <row r="449" spans="2:21" ht="15" x14ac:dyDescent="0.25">
      <c r="B449"/>
      <c r="C449"/>
      <c r="D449"/>
      <c r="E449"/>
      <c r="F449"/>
      <c r="G449"/>
      <c r="H449"/>
      <c r="I449"/>
      <c r="J449"/>
      <c r="L449" s="4"/>
      <c r="M449"/>
      <c r="N449"/>
      <c r="O449"/>
      <c r="P449"/>
      <c r="Q449"/>
      <c r="R449"/>
      <c r="S449"/>
      <c r="T449"/>
      <c r="U449"/>
    </row>
    <row r="450" spans="2:21" ht="15" x14ac:dyDescent="0.25">
      <c r="B450"/>
      <c r="C450"/>
      <c r="D450"/>
      <c r="E450"/>
      <c r="F450"/>
      <c r="G450"/>
      <c r="H450"/>
      <c r="I450"/>
      <c r="J450"/>
      <c r="L450" s="4"/>
      <c r="M450"/>
      <c r="N450"/>
      <c r="O450"/>
      <c r="P450"/>
      <c r="Q450"/>
      <c r="R450"/>
      <c r="S450"/>
      <c r="T450"/>
      <c r="U450"/>
    </row>
    <row r="451" spans="2:21" ht="15" x14ac:dyDescent="0.25">
      <c r="B451"/>
      <c r="C451"/>
      <c r="D451"/>
      <c r="E451"/>
      <c r="F451"/>
      <c r="G451"/>
      <c r="H451"/>
      <c r="I451"/>
      <c r="J451"/>
      <c r="L451" s="4"/>
      <c r="M451"/>
      <c r="N451"/>
      <c r="O451"/>
      <c r="P451"/>
      <c r="Q451"/>
      <c r="R451"/>
      <c r="S451"/>
      <c r="T451"/>
      <c r="U451"/>
    </row>
    <row r="452" spans="2:21" ht="15" x14ac:dyDescent="0.25">
      <c r="B452"/>
      <c r="C452"/>
      <c r="D452"/>
      <c r="E452"/>
      <c r="F452"/>
      <c r="G452"/>
      <c r="H452"/>
      <c r="I452"/>
      <c r="J452"/>
      <c r="L452" s="4"/>
      <c r="M452"/>
      <c r="N452"/>
      <c r="O452"/>
      <c r="P452"/>
      <c r="Q452"/>
      <c r="R452"/>
      <c r="S452"/>
      <c r="T452"/>
      <c r="U452"/>
    </row>
    <row r="453" spans="2:21" ht="15" x14ac:dyDescent="0.25">
      <c r="B453"/>
      <c r="C453"/>
      <c r="D453"/>
      <c r="E453"/>
      <c r="F453"/>
      <c r="G453"/>
      <c r="H453"/>
      <c r="I453"/>
      <c r="J453"/>
      <c r="L453" s="4"/>
      <c r="M453"/>
      <c r="N453"/>
      <c r="O453"/>
      <c r="P453"/>
      <c r="Q453"/>
      <c r="R453"/>
      <c r="S453"/>
      <c r="T453"/>
      <c r="U453"/>
    </row>
    <row r="454" spans="2:21" ht="15" x14ac:dyDescent="0.25">
      <c r="B454"/>
      <c r="C454"/>
      <c r="D454"/>
      <c r="E454"/>
      <c r="F454"/>
      <c r="G454"/>
      <c r="H454"/>
      <c r="I454"/>
      <c r="J454"/>
      <c r="L454" s="4"/>
      <c r="M454"/>
      <c r="N454"/>
      <c r="O454"/>
      <c r="P454"/>
      <c r="Q454"/>
      <c r="R454"/>
      <c r="S454"/>
      <c r="T454"/>
      <c r="U454"/>
    </row>
    <row r="455" spans="2:21" ht="15" x14ac:dyDescent="0.25">
      <c r="B455"/>
      <c r="C455"/>
      <c r="D455"/>
      <c r="E455"/>
      <c r="F455"/>
      <c r="G455"/>
      <c r="H455"/>
      <c r="I455"/>
      <c r="J455"/>
      <c r="L455" s="4"/>
      <c r="M455"/>
      <c r="N455"/>
      <c r="O455"/>
      <c r="P455"/>
      <c r="Q455"/>
      <c r="R455"/>
      <c r="S455"/>
      <c r="T455"/>
      <c r="U455"/>
    </row>
    <row r="456" spans="2:21" ht="15" x14ac:dyDescent="0.25">
      <c r="B456"/>
      <c r="C456"/>
      <c r="D456"/>
      <c r="E456"/>
      <c r="F456"/>
      <c r="G456"/>
      <c r="H456"/>
      <c r="I456"/>
      <c r="J456"/>
      <c r="L456" s="4"/>
      <c r="M456"/>
      <c r="N456"/>
      <c r="O456"/>
      <c r="P456"/>
      <c r="Q456"/>
      <c r="R456"/>
      <c r="S456"/>
      <c r="T456"/>
      <c r="U456"/>
    </row>
    <row r="457" spans="2:21" ht="15" x14ac:dyDescent="0.25">
      <c r="B457"/>
      <c r="C457"/>
      <c r="D457"/>
      <c r="E457"/>
      <c r="F457"/>
      <c r="G457"/>
      <c r="H457"/>
      <c r="I457"/>
      <c r="J457"/>
      <c r="L457" s="4"/>
      <c r="M457"/>
      <c r="N457"/>
      <c r="O457"/>
      <c r="P457"/>
      <c r="Q457"/>
      <c r="R457"/>
      <c r="S457"/>
      <c r="T457"/>
      <c r="U457"/>
    </row>
    <row r="458" spans="2:21" ht="15" x14ac:dyDescent="0.25">
      <c r="B458"/>
      <c r="C458"/>
      <c r="D458"/>
      <c r="E458"/>
      <c r="F458"/>
      <c r="G458"/>
      <c r="H458"/>
      <c r="I458"/>
      <c r="J458"/>
      <c r="L458" s="4"/>
      <c r="M458"/>
      <c r="N458"/>
      <c r="O458"/>
      <c r="P458"/>
      <c r="Q458"/>
      <c r="R458"/>
      <c r="S458"/>
      <c r="T458"/>
      <c r="U458"/>
    </row>
    <row r="459" spans="2:21" ht="15" x14ac:dyDescent="0.25">
      <c r="B459"/>
      <c r="C459"/>
      <c r="D459"/>
      <c r="E459"/>
      <c r="F459"/>
      <c r="G459"/>
      <c r="H459"/>
      <c r="I459"/>
      <c r="J459"/>
      <c r="L459" s="4"/>
      <c r="M459"/>
      <c r="N459"/>
      <c r="O459"/>
      <c r="P459"/>
      <c r="Q459"/>
      <c r="R459"/>
      <c r="S459"/>
      <c r="T459"/>
      <c r="U459"/>
    </row>
    <row r="460" spans="2:21" ht="15" x14ac:dyDescent="0.25">
      <c r="B460"/>
      <c r="C460"/>
      <c r="D460"/>
      <c r="E460"/>
      <c r="F460"/>
      <c r="G460"/>
      <c r="H460"/>
      <c r="I460"/>
      <c r="J460"/>
      <c r="L460" s="4"/>
      <c r="M460"/>
      <c r="N460"/>
      <c r="O460"/>
      <c r="P460"/>
      <c r="Q460"/>
      <c r="R460"/>
      <c r="S460"/>
      <c r="T460"/>
      <c r="U460"/>
    </row>
    <row r="461" spans="2:21" ht="15" x14ac:dyDescent="0.25">
      <c r="B461"/>
      <c r="C461"/>
      <c r="D461"/>
      <c r="E461"/>
      <c r="F461"/>
      <c r="G461"/>
      <c r="H461"/>
      <c r="I461"/>
      <c r="J461"/>
      <c r="L461" s="4"/>
      <c r="M461"/>
      <c r="N461"/>
      <c r="O461"/>
      <c r="P461"/>
      <c r="Q461"/>
      <c r="R461"/>
      <c r="S461"/>
      <c r="T461"/>
      <c r="U461"/>
    </row>
    <row r="462" spans="2:21" ht="15" x14ac:dyDescent="0.25">
      <c r="B462"/>
      <c r="C462"/>
      <c r="D462"/>
      <c r="E462"/>
      <c r="F462"/>
      <c r="G462"/>
      <c r="H462"/>
      <c r="I462"/>
      <c r="J462"/>
      <c r="L462" s="4"/>
      <c r="M462"/>
      <c r="N462"/>
      <c r="O462"/>
      <c r="P462"/>
      <c r="Q462"/>
      <c r="R462"/>
      <c r="S462"/>
      <c r="T462"/>
      <c r="U462"/>
    </row>
    <row r="463" spans="2:21" ht="15" x14ac:dyDescent="0.25">
      <c r="B463"/>
      <c r="C463"/>
      <c r="D463"/>
      <c r="E463"/>
      <c r="F463"/>
      <c r="G463"/>
      <c r="H463"/>
      <c r="I463"/>
      <c r="J463"/>
      <c r="L463" s="4"/>
      <c r="M463"/>
      <c r="N463"/>
      <c r="O463"/>
      <c r="P463"/>
      <c r="Q463"/>
      <c r="R463"/>
      <c r="S463"/>
      <c r="T463"/>
      <c r="U463"/>
    </row>
    <row r="464" spans="2:21" ht="15" x14ac:dyDescent="0.25">
      <c r="B464"/>
      <c r="C464"/>
      <c r="D464"/>
      <c r="E464"/>
      <c r="F464"/>
      <c r="G464"/>
      <c r="H464"/>
      <c r="I464"/>
      <c r="J464"/>
      <c r="L464" s="4"/>
      <c r="M464"/>
      <c r="N464"/>
      <c r="O464"/>
      <c r="P464"/>
      <c r="Q464"/>
      <c r="R464"/>
      <c r="S464"/>
      <c r="T464"/>
      <c r="U464"/>
    </row>
    <row r="465" spans="2:21" ht="15" x14ac:dyDescent="0.25">
      <c r="B465"/>
      <c r="C465"/>
      <c r="D465"/>
      <c r="E465"/>
      <c r="F465"/>
      <c r="G465"/>
      <c r="H465"/>
      <c r="I465"/>
      <c r="J465"/>
      <c r="L465" s="4"/>
      <c r="M465"/>
      <c r="N465"/>
      <c r="O465"/>
      <c r="P465"/>
      <c r="Q465"/>
      <c r="R465"/>
      <c r="S465"/>
      <c r="T465"/>
      <c r="U465"/>
    </row>
    <row r="466" spans="2:21" ht="15" x14ac:dyDescent="0.25">
      <c r="B466"/>
      <c r="C466"/>
      <c r="D466"/>
      <c r="E466"/>
      <c r="F466"/>
      <c r="G466"/>
      <c r="H466"/>
      <c r="I466"/>
      <c r="J466"/>
      <c r="L466" s="4"/>
      <c r="M466"/>
      <c r="N466"/>
      <c r="O466"/>
      <c r="P466"/>
      <c r="Q466"/>
      <c r="R466"/>
      <c r="S466"/>
      <c r="T466"/>
      <c r="U466"/>
    </row>
    <row r="467" spans="2:21" ht="15" x14ac:dyDescent="0.25">
      <c r="B467"/>
      <c r="C467"/>
      <c r="D467"/>
      <c r="E467"/>
      <c r="F467"/>
      <c r="G467"/>
      <c r="H467"/>
      <c r="I467"/>
      <c r="J467"/>
      <c r="L467" s="4"/>
      <c r="M467"/>
      <c r="N467"/>
      <c r="O467"/>
      <c r="P467"/>
      <c r="Q467"/>
      <c r="R467"/>
      <c r="S467"/>
      <c r="T467"/>
      <c r="U467"/>
    </row>
    <row r="468" spans="2:21" ht="15" x14ac:dyDescent="0.25">
      <c r="B468"/>
      <c r="C468"/>
      <c r="D468"/>
      <c r="E468"/>
      <c r="F468"/>
      <c r="G468"/>
      <c r="H468"/>
      <c r="I468"/>
      <c r="J468"/>
      <c r="L468" s="4"/>
      <c r="M468"/>
      <c r="N468"/>
      <c r="O468"/>
      <c r="P468"/>
      <c r="Q468"/>
      <c r="R468"/>
      <c r="S468"/>
      <c r="T468"/>
      <c r="U468"/>
    </row>
    <row r="469" spans="2:21" ht="15" x14ac:dyDescent="0.25">
      <c r="B469"/>
      <c r="C469"/>
      <c r="D469"/>
      <c r="E469"/>
      <c r="F469"/>
      <c r="G469"/>
      <c r="H469"/>
      <c r="I469"/>
      <c r="J469"/>
      <c r="L469" s="4"/>
      <c r="M469"/>
      <c r="N469"/>
      <c r="O469"/>
      <c r="P469"/>
      <c r="Q469"/>
      <c r="R469"/>
      <c r="S469"/>
      <c r="T469"/>
      <c r="U469"/>
    </row>
    <row r="470" spans="2:21" ht="15" x14ac:dyDescent="0.25">
      <c r="B470"/>
      <c r="C470"/>
      <c r="D470"/>
      <c r="E470"/>
      <c r="F470"/>
      <c r="G470"/>
      <c r="H470"/>
      <c r="I470"/>
      <c r="J470"/>
      <c r="L470" s="4"/>
      <c r="M470"/>
      <c r="N470"/>
      <c r="O470"/>
      <c r="P470"/>
      <c r="Q470"/>
      <c r="R470"/>
      <c r="S470"/>
      <c r="T470"/>
      <c r="U470"/>
    </row>
    <row r="471" spans="2:21" ht="15" x14ac:dyDescent="0.25">
      <c r="B471"/>
      <c r="C471"/>
      <c r="D471"/>
      <c r="E471"/>
      <c r="F471"/>
      <c r="G471"/>
      <c r="H471"/>
      <c r="I471"/>
      <c r="J471"/>
      <c r="L471" s="4"/>
      <c r="M471"/>
      <c r="N471"/>
      <c r="O471"/>
      <c r="P471"/>
      <c r="Q471"/>
      <c r="R471"/>
      <c r="S471"/>
      <c r="T471"/>
      <c r="U471"/>
    </row>
    <row r="472" spans="2:21" ht="15" x14ac:dyDescent="0.25">
      <c r="B472"/>
      <c r="C472"/>
      <c r="D472"/>
      <c r="E472"/>
      <c r="F472"/>
      <c r="G472"/>
      <c r="H472"/>
      <c r="I472"/>
      <c r="J472"/>
      <c r="L472" s="4"/>
      <c r="M472"/>
      <c r="N472"/>
      <c r="O472"/>
      <c r="P472"/>
      <c r="Q472"/>
      <c r="R472"/>
      <c r="S472"/>
      <c r="T472"/>
      <c r="U472"/>
    </row>
    <row r="473" spans="2:21" ht="15" x14ac:dyDescent="0.25">
      <c r="B473"/>
      <c r="C473"/>
      <c r="D473"/>
      <c r="E473"/>
      <c r="F473"/>
      <c r="G473"/>
      <c r="H473"/>
      <c r="I473"/>
      <c r="J473"/>
      <c r="L473" s="4"/>
      <c r="M473"/>
      <c r="N473"/>
      <c r="O473"/>
      <c r="P473"/>
      <c r="Q473"/>
      <c r="R473"/>
      <c r="S473"/>
      <c r="T473"/>
      <c r="U473"/>
    </row>
    <row r="474" spans="2:21" ht="15" x14ac:dyDescent="0.25">
      <c r="B474"/>
      <c r="C474"/>
      <c r="D474"/>
      <c r="E474"/>
      <c r="F474"/>
      <c r="G474"/>
      <c r="H474"/>
      <c r="I474"/>
      <c r="J474"/>
      <c r="L474" s="4"/>
      <c r="M474"/>
      <c r="N474"/>
      <c r="O474"/>
      <c r="P474"/>
      <c r="Q474"/>
      <c r="R474"/>
      <c r="S474"/>
      <c r="T474"/>
      <c r="U474"/>
    </row>
    <row r="475" spans="2:21" ht="15" x14ac:dyDescent="0.25">
      <c r="B475"/>
      <c r="C475"/>
      <c r="D475"/>
      <c r="E475"/>
      <c r="F475"/>
      <c r="G475"/>
      <c r="H475"/>
      <c r="I475"/>
      <c r="J475"/>
      <c r="L475" s="4"/>
      <c r="M475"/>
      <c r="N475"/>
      <c r="O475"/>
      <c r="P475"/>
      <c r="Q475"/>
      <c r="R475"/>
      <c r="S475"/>
      <c r="T475"/>
      <c r="U475"/>
    </row>
    <row r="476" spans="2:21" ht="15" x14ac:dyDescent="0.25">
      <c r="B476"/>
      <c r="C476"/>
      <c r="D476"/>
      <c r="E476"/>
      <c r="F476"/>
      <c r="G476"/>
      <c r="H476"/>
      <c r="I476"/>
      <c r="J476"/>
      <c r="L476" s="4"/>
      <c r="M476"/>
      <c r="N476"/>
      <c r="O476"/>
      <c r="P476"/>
      <c r="Q476"/>
      <c r="R476"/>
      <c r="S476"/>
      <c r="T476"/>
      <c r="U476"/>
    </row>
    <row r="477" spans="2:21" ht="15" x14ac:dyDescent="0.25">
      <c r="B477"/>
      <c r="C477"/>
      <c r="D477"/>
      <c r="E477"/>
      <c r="F477"/>
      <c r="G477"/>
      <c r="H477"/>
      <c r="I477"/>
      <c r="J477"/>
      <c r="L477" s="4"/>
      <c r="M477"/>
      <c r="N477"/>
      <c r="O477"/>
      <c r="P477"/>
      <c r="Q477"/>
      <c r="R477"/>
      <c r="S477"/>
      <c r="T477"/>
      <c r="U477"/>
    </row>
    <row r="478" spans="2:21" ht="15" x14ac:dyDescent="0.25">
      <c r="B478"/>
      <c r="C478"/>
      <c r="D478"/>
      <c r="E478"/>
      <c r="F478"/>
      <c r="G478"/>
      <c r="H478"/>
      <c r="I478"/>
      <c r="J478"/>
      <c r="L478" s="4"/>
      <c r="M478"/>
      <c r="N478"/>
      <c r="O478"/>
      <c r="P478"/>
      <c r="Q478"/>
      <c r="R478"/>
      <c r="S478"/>
      <c r="T478"/>
      <c r="U478"/>
    </row>
    <row r="479" spans="2:21" ht="15" x14ac:dyDescent="0.25">
      <c r="B479"/>
      <c r="C479"/>
      <c r="D479"/>
      <c r="E479"/>
      <c r="F479"/>
      <c r="G479"/>
      <c r="H479"/>
      <c r="I479"/>
      <c r="J479"/>
      <c r="L479" s="4"/>
      <c r="M479"/>
      <c r="N479"/>
      <c r="O479"/>
      <c r="P479"/>
      <c r="Q479"/>
      <c r="R479"/>
      <c r="S479"/>
      <c r="T479"/>
      <c r="U479"/>
    </row>
    <row r="480" spans="2:21" ht="15" x14ac:dyDescent="0.25">
      <c r="B480"/>
      <c r="C480"/>
      <c r="D480"/>
      <c r="E480"/>
      <c r="F480"/>
      <c r="G480"/>
      <c r="H480"/>
      <c r="I480"/>
      <c r="J480"/>
      <c r="L480" s="4"/>
      <c r="M480"/>
      <c r="N480"/>
      <c r="O480"/>
      <c r="P480"/>
      <c r="Q480"/>
      <c r="R480"/>
      <c r="S480"/>
      <c r="T480"/>
      <c r="U480"/>
    </row>
    <row r="481" spans="2:21" ht="15" x14ac:dyDescent="0.25">
      <c r="B481"/>
      <c r="C481"/>
      <c r="D481"/>
      <c r="E481"/>
      <c r="F481"/>
      <c r="G481"/>
      <c r="H481"/>
      <c r="I481"/>
      <c r="J481"/>
      <c r="L481" s="4"/>
      <c r="M481"/>
      <c r="N481"/>
      <c r="O481"/>
      <c r="P481"/>
      <c r="Q481"/>
      <c r="R481"/>
      <c r="S481"/>
      <c r="T481"/>
      <c r="U481"/>
    </row>
    <row r="482" spans="2:21" ht="15" x14ac:dyDescent="0.25">
      <c r="B482"/>
      <c r="C482"/>
      <c r="D482"/>
      <c r="E482"/>
      <c r="F482"/>
      <c r="G482"/>
      <c r="H482"/>
      <c r="I482"/>
      <c r="J482"/>
      <c r="L482" s="4"/>
      <c r="M482"/>
      <c r="N482"/>
      <c r="O482"/>
      <c r="P482"/>
      <c r="Q482"/>
      <c r="R482"/>
      <c r="S482"/>
      <c r="T482"/>
      <c r="U482"/>
    </row>
    <row r="483" spans="2:21" ht="15" x14ac:dyDescent="0.25">
      <c r="B483"/>
      <c r="C483"/>
      <c r="D483"/>
      <c r="E483"/>
      <c r="F483"/>
      <c r="G483"/>
      <c r="H483"/>
      <c r="I483"/>
      <c r="J483"/>
      <c r="L483" s="4"/>
      <c r="M483"/>
      <c r="N483"/>
      <c r="O483"/>
      <c r="P483"/>
      <c r="Q483"/>
      <c r="R483"/>
      <c r="S483"/>
      <c r="T483"/>
      <c r="U483"/>
    </row>
    <row r="484" spans="2:21" ht="15" x14ac:dyDescent="0.25">
      <c r="B484"/>
      <c r="C484"/>
      <c r="D484"/>
      <c r="E484"/>
      <c r="F484"/>
      <c r="G484"/>
      <c r="H484"/>
      <c r="I484"/>
      <c r="J484"/>
      <c r="L484" s="4"/>
      <c r="M484"/>
      <c r="N484"/>
      <c r="O484"/>
      <c r="P484"/>
      <c r="Q484"/>
      <c r="R484"/>
      <c r="S484"/>
      <c r="T484"/>
      <c r="U484"/>
    </row>
    <row r="485" spans="2:21" ht="15" x14ac:dyDescent="0.25">
      <c r="B485"/>
      <c r="C485"/>
      <c r="D485"/>
      <c r="E485"/>
      <c r="F485"/>
      <c r="G485"/>
      <c r="H485"/>
      <c r="I485"/>
      <c r="J485"/>
      <c r="L485" s="4"/>
      <c r="M485"/>
      <c r="N485"/>
      <c r="O485"/>
      <c r="P485"/>
      <c r="Q485"/>
      <c r="R485"/>
      <c r="S485"/>
      <c r="T485"/>
      <c r="U485"/>
    </row>
    <row r="486" spans="2:21" ht="15" x14ac:dyDescent="0.25">
      <c r="B486"/>
      <c r="C486"/>
      <c r="D486"/>
      <c r="E486"/>
      <c r="F486"/>
      <c r="G486"/>
      <c r="H486"/>
      <c r="I486"/>
      <c r="J486"/>
      <c r="L486" s="4"/>
      <c r="M486"/>
      <c r="N486"/>
      <c r="O486"/>
      <c r="P486"/>
      <c r="Q486"/>
      <c r="R486"/>
      <c r="S486"/>
      <c r="T486"/>
      <c r="U486"/>
    </row>
    <row r="487" spans="2:21" ht="15" x14ac:dyDescent="0.25">
      <c r="B487"/>
      <c r="C487"/>
      <c r="D487"/>
      <c r="E487"/>
      <c r="F487"/>
      <c r="G487"/>
      <c r="H487"/>
      <c r="I487"/>
      <c r="J487"/>
      <c r="L487" s="4"/>
      <c r="M487"/>
      <c r="N487"/>
      <c r="O487"/>
      <c r="P487"/>
      <c r="Q487"/>
      <c r="R487"/>
      <c r="S487"/>
      <c r="T487"/>
      <c r="U487"/>
    </row>
    <row r="488" spans="2:21" ht="15" x14ac:dyDescent="0.25">
      <c r="B488"/>
      <c r="C488"/>
      <c r="D488"/>
      <c r="E488"/>
      <c r="F488"/>
      <c r="G488"/>
      <c r="H488"/>
      <c r="I488"/>
      <c r="J488"/>
      <c r="L488" s="4"/>
      <c r="M488"/>
      <c r="N488"/>
      <c r="O488"/>
      <c r="P488"/>
      <c r="Q488"/>
      <c r="R488"/>
      <c r="S488"/>
      <c r="T488"/>
      <c r="U488"/>
    </row>
    <row r="489" spans="2:21" ht="15" x14ac:dyDescent="0.25">
      <c r="B489"/>
      <c r="C489"/>
      <c r="D489"/>
      <c r="E489"/>
      <c r="F489"/>
      <c r="G489"/>
      <c r="H489"/>
      <c r="I489"/>
      <c r="J489"/>
      <c r="L489" s="4"/>
      <c r="M489"/>
      <c r="N489"/>
      <c r="O489"/>
      <c r="P489"/>
      <c r="Q489"/>
      <c r="R489"/>
      <c r="S489"/>
      <c r="T489"/>
      <c r="U489"/>
    </row>
    <row r="490" spans="2:21" ht="15" x14ac:dyDescent="0.25">
      <c r="B490"/>
      <c r="C490"/>
      <c r="D490"/>
      <c r="E490"/>
      <c r="F490"/>
      <c r="G490"/>
      <c r="H490"/>
      <c r="I490"/>
      <c r="J490"/>
      <c r="L490" s="4"/>
      <c r="M490"/>
      <c r="N490"/>
      <c r="O490"/>
      <c r="P490"/>
      <c r="Q490"/>
      <c r="R490"/>
      <c r="S490"/>
      <c r="T490"/>
      <c r="U490"/>
    </row>
    <row r="491" spans="2:21" ht="15" x14ac:dyDescent="0.25">
      <c r="B491"/>
      <c r="C491"/>
      <c r="D491"/>
      <c r="E491"/>
      <c r="F491"/>
      <c r="G491"/>
      <c r="H491"/>
      <c r="I491"/>
      <c r="J491"/>
      <c r="L491" s="4"/>
      <c r="M491"/>
      <c r="N491"/>
      <c r="O491"/>
      <c r="P491"/>
      <c r="Q491"/>
      <c r="R491"/>
      <c r="S491"/>
      <c r="T491"/>
      <c r="U491"/>
    </row>
    <row r="492" spans="2:21" ht="15" x14ac:dyDescent="0.25">
      <c r="B492"/>
      <c r="C492"/>
      <c r="D492"/>
      <c r="E492"/>
      <c r="F492"/>
      <c r="G492"/>
      <c r="H492"/>
      <c r="I492"/>
      <c r="J492"/>
      <c r="L492" s="4"/>
      <c r="M492"/>
      <c r="N492"/>
      <c r="O492"/>
      <c r="P492"/>
      <c r="Q492"/>
      <c r="R492"/>
      <c r="S492"/>
      <c r="T492"/>
      <c r="U492"/>
    </row>
    <row r="493" spans="2:21" ht="15" x14ac:dyDescent="0.25">
      <c r="B493"/>
      <c r="C493"/>
      <c r="D493"/>
      <c r="E493"/>
      <c r="F493"/>
      <c r="G493"/>
      <c r="H493"/>
      <c r="I493"/>
      <c r="J493"/>
      <c r="L493" s="4"/>
      <c r="M493"/>
      <c r="N493"/>
      <c r="O493"/>
      <c r="P493"/>
      <c r="Q493"/>
      <c r="R493"/>
      <c r="S493"/>
      <c r="T493"/>
      <c r="U493"/>
    </row>
    <row r="494" spans="2:21" ht="15" x14ac:dyDescent="0.25">
      <c r="B494"/>
      <c r="C494"/>
      <c r="D494"/>
      <c r="E494"/>
      <c r="F494"/>
      <c r="G494"/>
      <c r="H494"/>
      <c r="I494"/>
      <c r="J494"/>
      <c r="L494" s="4"/>
      <c r="M494"/>
      <c r="N494"/>
      <c r="O494"/>
      <c r="P494"/>
      <c r="Q494"/>
      <c r="R494"/>
      <c r="S494"/>
      <c r="T494"/>
      <c r="U494"/>
    </row>
    <row r="495" spans="2:21" ht="15" x14ac:dyDescent="0.25">
      <c r="B495"/>
      <c r="C495"/>
      <c r="D495"/>
      <c r="E495"/>
      <c r="F495"/>
      <c r="G495"/>
      <c r="H495"/>
      <c r="I495"/>
      <c r="J495"/>
      <c r="L495" s="4"/>
      <c r="M495"/>
      <c r="N495"/>
      <c r="O495"/>
      <c r="P495"/>
      <c r="Q495"/>
      <c r="R495"/>
      <c r="S495"/>
      <c r="T495"/>
      <c r="U495"/>
    </row>
    <row r="496" spans="2:21" ht="15" x14ac:dyDescent="0.25">
      <c r="B496"/>
      <c r="C496"/>
      <c r="D496"/>
      <c r="E496"/>
      <c r="F496"/>
      <c r="G496"/>
      <c r="H496"/>
      <c r="I496"/>
      <c r="J496"/>
      <c r="L496" s="4"/>
      <c r="M496"/>
      <c r="N496"/>
      <c r="O496"/>
      <c r="P496"/>
      <c r="Q496"/>
      <c r="R496"/>
      <c r="S496"/>
      <c r="T496"/>
      <c r="U496"/>
    </row>
    <row r="497" spans="2:21" ht="15" x14ac:dyDescent="0.25">
      <c r="B497"/>
      <c r="C497"/>
      <c r="D497"/>
      <c r="E497"/>
      <c r="F497"/>
      <c r="G497"/>
      <c r="H497"/>
      <c r="I497"/>
      <c r="J497"/>
      <c r="L497" s="4"/>
      <c r="M497"/>
      <c r="N497"/>
      <c r="O497"/>
      <c r="P497"/>
      <c r="Q497"/>
      <c r="R497"/>
      <c r="S497"/>
      <c r="T497"/>
      <c r="U497"/>
    </row>
    <row r="498" spans="2:21" ht="15" x14ac:dyDescent="0.25">
      <c r="B498"/>
      <c r="C498"/>
      <c r="D498"/>
      <c r="E498"/>
      <c r="F498"/>
      <c r="G498"/>
      <c r="H498"/>
      <c r="I498"/>
      <c r="J498"/>
      <c r="L498" s="4"/>
      <c r="M498"/>
      <c r="N498"/>
      <c r="O498"/>
      <c r="P498"/>
      <c r="Q498"/>
      <c r="R498"/>
      <c r="S498"/>
      <c r="T498"/>
      <c r="U498"/>
    </row>
    <row r="499" spans="2:21" ht="15" x14ac:dyDescent="0.25">
      <c r="B499"/>
      <c r="C499"/>
      <c r="D499"/>
      <c r="E499"/>
      <c r="F499"/>
      <c r="G499"/>
      <c r="H499"/>
      <c r="I499"/>
      <c r="J499"/>
      <c r="L499" s="4"/>
      <c r="M499"/>
      <c r="N499"/>
      <c r="O499"/>
      <c r="P499"/>
      <c r="Q499"/>
      <c r="R499"/>
      <c r="S499"/>
      <c r="T499"/>
      <c r="U499"/>
    </row>
    <row r="500" spans="2:21" ht="15" x14ac:dyDescent="0.25">
      <c r="B500"/>
      <c r="C500"/>
      <c r="D500"/>
      <c r="E500"/>
      <c r="F500"/>
      <c r="G500"/>
      <c r="H500"/>
      <c r="I500"/>
      <c r="J500"/>
      <c r="L500" s="4"/>
      <c r="M500"/>
      <c r="N500"/>
      <c r="O500"/>
      <c r="P500"/>
      <c r="Q500"/>
      <c r="R500"/>
      <c r="S500"/>
      <c r="T500"/>
      <c r="U500"/>
    </row>
    <row r="501" spans="2:21" ht="15" x14ac:dyDescent="0.25">
      <c r="B501"/>
      <c r="C501"/>
      <c r="D501"/>
      <c r="E501"/>
      <c r="F501"/>
      <c r="G501"/>
      <c r="H501"/>
      <c r="I501"/>
      <c r="J501"/>
      <c r="L501" s="4"/>
      <c r="M501"/>
      <c r="N501"/>
      <c r="O501"/>
      <c r="P501"/>
      <c r="Q501"/>
      <c r="R501"/>
      <c r="S501"/>
      <c r="T501"/>
      <c r="U501"/>
    </row>
    <row r="502" spans="2:21" ht="15" x14ac:dyDescent="0.25">
      <c r="B502"/>
      <c r="C502"/>
      <c r="D502"/>
      <c r="E502"/>
      <c r="F502"/>
      <c r="G502"/>
      <c r="H502"/>
      <c r="I502"/>
      <c r="J502"/>
      <c r="L502" s="4"/>
      <c r="M502"/>
      <c r="N502"/>
      <c r="O502"/>
      <c r="P502"/>
      <c r="Q502"/>
      <c r="R502"/>
      <c r="S502"/>
      <c r="T502"/>
      <c r="U502"/>
    </row>
    <row r="503" spans="2:21" ht="15" x14ac:dyDescent="0.25">
      <c r="B503"/>
      <c r="C503"/>
      <c r="D503"/>
      <c r="E503"/>
      <c r="F503"/>
      <c r="G503"/>
      <c r="H503"/>
      <c r="I503"/>
      <c r="J503"/>
      <c r="L503" s="4"/>
      <c r="M503"/>
      <c r="N503"/>
      <c r="O503"/>
      <c r="P503"/>
      <c r="Q503"/>
      <c r="R503"/>
      <c r="S503"/>
      <c r="T503"/>
      <c r="U503"/>
    </row>
    <row r="504" spans="2:21" ht="15" x14ac:dyDescent="0.25">
      <c r="B504"/>
      <c r="C504"/>
      <c r="D504"/>
      <c r="E504"/>
      <c r="F504"/>
      <c r="G504"/>
      <c r="H504"/>
      <c r="I504"/>
      <c r="J504"/>
      <c r="L504" s="4"/>
      <c r="M504"/>
      <c r="N504"/>
      <c r="O504"/>
      <c r="P504"/>
      <c r="Q504"/>
      <c r="R504"/>
      <c r="S504"/>
      <c r="T504"/>
      <c r="U504"/>
    </row>
    <row r="505" spans="2:21" ht="15" x14ac:dyDescent="0.25">
      <c r="B505"/>
      <c r="C505"/>
      <c r="D505"/>
      <c r="E505"/>
      <c r="F505"/>
      <c r="G505"/>
      <c r="H505"/>
      <c r="I505"/>
      <c r="J505"/>
      <c r="L505" s="4"/>
      <c r="M505"/>
      <c r="N505"/>
      <c r="O505"/>
      <c r="P505"/>
      <c r="Q505"/>
      <c r="R505"/>
      <c r="S505"/>
      <c r="T505"/>
      <c r="U505"/>
    </row>
    <row r="506" spans="2:21" ht="15" x14ac:dyDescent="0.25">
      <c r="B506"/>
      <c r="C506"/>
      <c r="D506"/>
      <c r="E506"/>
      <c r="F506"/>
      <c r="G506"/>
      <c r="H506"/>
      <c r="I506"/>
      <c r="J506"/>
      <c r="L506" s="4"/>
      <c r="M506"/>
      <c r="N506"/>
      <c r="O506"/>
      <c r="P506"/>
      <c r="Q506"/>
      <c r="R506"/>
      <c r="S506"/>
      <c r="T506"/>
      <c r="U506"/>
    </row>
    <row r="507" spans="2:21" ht="15" x14ac:dyDescent="0.25">
      <c r="B507"/>
      <c r="C507"/>
      <c r="D507"/>
      <c r="E507"/>
      <c r="F507"/>
      <c r="G507"/>
      <c r="H507"/>
      <c r="I507"/>
      <c r="J507"/>
      <c r="L507" s="4"/>
      <c r="M507"/>
      <c r="N507"/>
      <c r="O507"/>
      <c r="P507"/>
      <c r="Q507"/>
      <c r="R507"/>
      <c r="S507"/>
      <c r="T507"/>
      <c r="U507"/>
    </row>
    <row r="508" spans="2:21" ht="15" x14ac:dyDescent="0.25">
      <c r="B508"/>
      <c r="C508"/>
      <c r="D508"/>
      <c r="E508"/>
      <c r="F508"/>
      <c r="G508"/>
      <c r="H508"/>
      <c r="I508"/>
      <c r="J508"/>
      <c r="L508" s="4"/>
      <c r="M508"/>
      <c r="N508"/>
      <c r="O508"/>
      <c r="P508"/>
      <c r="Q508"/>
      <c r="R508"/>
      <c r="S508"/>
      <c r="T508"/>
      <c r="U508"/>
    </row>
    <row r="509" spans="2:21" ht="15" x14ac:dyDescent="0.25">
      <c r="B509"/>
      <c r="C509"/>
      <c r="D509"/>
      <c r="E509"/>
      <c r="F509"/>
      <c r="G509"/>
      <c r="H509"/>
      <c r="I509"/>
      <c r="J509"/>
      <c r="L509" s="4"/>
      <c r="M509"/>
      <c r="N509"/>
      <c r="O509"/>
      <c r="P509"/>
      <c r="Q509"/>
      <c r="R509"/>
      <c r="S509"/>
      <c r="T509"/>
      <c r="U509"/>
    </row>
    <row r="510" spans="2:21" ht="15" x14ac:dyDescent="0.25">
      <c r="B510"/>
      <c r="C510"/>
      <c r="D510"/>
      <c r="E510"/>
      <c r="F510"/>
      <c r="G510"/>
      <c r="H510"/>
      <c r="I510"/>
      <c r="J510"/>
      <c r="L510" s="4"/>
      <c r="M510"/>
      <c r="N510"/>
      <c r="O510"/>
      <c r="P510"/>
      <c r="Q510"/>
      <c r="R510"/>
      <c r="S510"/>
      <c r="T510"/>
      <c r="U510"/>
    </row>
    <row r="511" spans="2:21" ht="15" x14ac:dyDescent="0.25">
      <c r="B511"/>
      <c r="C511"/>
      <c r="D511"/>
      <c r="E511"/>
      <c r="F511"/>
      <c r="G511"/>
      <c r="H511"/>
      <c r="I511"/>
      <c r="J511"/>
      <c r="L511" s="4"/>
      <c r="M511"/>
      <c r="N511"/>
      <c r="O511"/>
      <c r="P511"/>
      <c r="Q511"/>
      <c r="R511"/>
      <c r="S511"/>
      <c r="T511"/>
      <c r="U511"/>
    </row>
    <row r="512" spans="2:21" ht="15" x14ac:dyDescent="0.25">
      <c r="B512"/>
      <c r="C512"/>
      <c r="D512"/>
      <c r="E512"/>
      <c r="F512"/>
      <c r="G512"/>
      <c r="H512"/>
      <c r="I512"/>
      <c r="J512"/>
      <c r="L512" s="4"/>
      <c r="M512"/>
      <c r="N512"/>
      <c r="O512"/>
      <c r="P512"/>
      <c r="Q512"/>
      <c r="R512"/>
      <c r="S512"/>
      <c r="T512"/>
      <c r="U512"/>
    </row>
    <row r="513" spans="2:21" ht="15" x14ac:dyDescent="0.25">
      <c r="B513"/>
      <c r="C513"/>
      <c r="D513"/>
      <c r="E513"/>
      <c r="F513"/>
      <c r="G513"/>
      <c r="H513"/>
      <c r="I513"/>
      <c r="J513"/>
      <c r="L513" s="4"/>
      <c r="M513"/>
      <c r="N513"/>
      <c r="O513"/>
      <c r="P513"/>
      <c r="Q513"/>
      <c r="R513"/>
      <c r="S513"/>
      <c r="T513"/>
      <c r="U513"/>
    </row>
    <row r="514" spans="2:21" ht="15" x14ac:dyDescent="0.25">
      <c r="B514"/>
      <c r="C514"/>
      <c r="D514"/>
      <c r="E514"/>
      <c r="F514"/>
      <c r="G514"/>
      <c r="H514"/>
      <c r="I514"/>
      <c r="J514"/>
      <c r="L514" s="4"/>
      <c r="M514"/>
      <c r="N514"/>
      <c r="O514"/>
      <c r="P514"/>
      <c r="Q514"/>
      <c r="R514"/>
      <c r="S514"/>
      <c r="T514"/>
      <c r="U514"/>
    </row>
    <row r="515" spans="2:21" ht="15" x14ac:dyDescent="0.25">
      <c r="L515" s="4"/>
      <c r="M515"/>
      <c r="N515"/>
      <c r="O515"/>
      <c r="P515"/>
      <c r="Q515"/>
      <c r="R515"/>
      <c r="S515"/>
      <c r="T515"/>
      <c r="U515"/>
    </row>
    <row r="516" spans="2:21" ht="15" x14ac:dyDescent="0.25">
      <c r="L516" s="4"/>
      <c r="M516"/>
      <c r="N516"/>
      <c r="O516"/>
      <c r="P516"/>
      <c r="Q516"/>
      <c r="R516"/>
      <c r="S516"/>
      <c r="T516"/>
      <c r="U516"/>
    </row>
  </sheetData>
  <mergeCells count="1">
    <mergeCell ref="C170:D1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Category</vt:lpstr>
      <vt:lpstr>First_Name</vt:lpstr>
      <vt:lpstr>Full_Name</vt:lpstr>
      <vt:lpstr>Item</vt:lpstr>
      <vt:lpstr>Last_Name</vt:lpstr>
      <vt:lpstr>Value</vt:lpstr>
    </vt:vector>
  </TitlesOfParts>
  <Company>AgreeYa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Chand</dc:creator>
  <cp:lastModifiedBy>Lokesh Ahire</cp:lastModifiedBy>
  <dcterms:created xsi:type="dcterms:W3CDTF">2023-02-19T05:10:54Z</dcterms:created>
  <dcterms:modified xsi:type="dcterms:W3CDTF">2026-08-03T08:21:35Z</dcterms:modified>
</cp:coreProperties>
</file>