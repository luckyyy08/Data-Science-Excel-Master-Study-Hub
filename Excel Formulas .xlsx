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ucky\Desktop\Advance Excel\"/>
    </mc:Choice>
  </mc:AlternateContent>
  <xr:revisionPtr revIDLastSave="0" documentId="13_ncr:1_{E895E4B2-4C86-4428-9238-37FFA47D68E4}" xr6:coauthVersionLast="47" xr6:coauthVersionMax="47" xr10:uidLastSave="{00000000-0000-0000-0000-000000000000}"/>
  <bookViews>
    <workbookView xWindow="0" yWindow="360" windowWidth="29040" windowHeight="15720" tabRatio="913" firstSheet="14" activeTab="14" xr2:uid="{00000000-000D-0000-FFFF-FFFF00000000}"/>
  </bookViews>
  <sheets>
    <sheet name="IF FORMULA" sheetId="15" r:id="rId1"/>
    <sheet name="NESTED IF" sheetId="17" r:id="rId2"/>
    <sheet name="IF AND IF OR" sheetId="16" r:id="rId3"/>
    <sheet name="COUNTA &amp; COUNT BLANK" sheetId="11" r:id="rId4"/>
    <sheet name="SUMIF" sheetId="6" r:id="rId5"/>
    <sheet name="SUMIFS" sheetId="7" r:id="rId6"/>
    <sheet name="COUNTIF" sheetId="8" r:id="rId7"/>
    <sheet name="COUNTIFS" sheetId="9" r:id="rId8"/>
    <sheet name="AVERAGEIF AND AVERAGE IFS" sheetId="12" r:id="rId9"/>
    <sheet name="SUBTOTAL" sheetId="13" r:id="rId10"/>
    <sheet name="SUMPRODUCT" sheetId="14" r:id="rId11"/>
    <sheet name="LEFT, MID, RIGHT, FIND " sheetId="19" r:id="rId12"/>
    <sheet name="Flash Fill" sheetId="25" r:id="rId13"/>
    <sheet name="SUBSTITUTE" sheetId="21" r:id="rId14"/>
    <sheet name="PMT,IPMT,PPMT,PV,FV" sheetId="20" r:id="rId15"/>
    <sheet name="Date function" sheetId="26" r:id="rId16"/>
  </sheets>
  <definedNames>
    <definedName name="_xlnm._FilterDatabase" localSheetId="8" hidden="1">'AVERAGEIF AND AVERAGE IFS'!$A$1:$D$13</definedName>
    <definedName name="_xlnm._FilterDatabase" localSheetId="4" hidden="1">SUMIF!$A$1:$C$13</definedName>
    <definedName name="_xlnm._FilterDatabase" localSheetId="5" hidden="1">SUMIFS!$A$1:$D$13</definedName>
    <definedName name="Amount">SUMIFS!$D$2:$D$13</definedName>
    <definedName name="Debit_Credit">SUMIFS!$C$2:$C$13</definedName>
    <definedName name="Designation">SUMIF!$B$2:$B$13</definedName>
    <definedName name="Employee_Code">SUMIF!$A$2:$A$13</definedName>
    <definedName name="Salary">SUMIF!$C$2:$C$13</definedName>
    <definedName name="Transction_Type">SUMIFS!$B$2:$B$13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0" l="1"/>
  <c r="I12" i="20"/>
  <c r="G12" i="20"/>
  <c r="H12" i="20"/>
  <c r="I3" i="20" l="1"/>
  <c r="I4" i="20"/>
  <c r="I5" i="20"/>
  <c r="I6" i="20"/>
  <c r="I7" i="20"/>
  <c r="I8" i="20"/>
  <c r="I9" i="20"/>
  <c r="I10" i="20"/>
  <c r="I11" i="20"/>
  <c r="I2" i="20"/>
  <c r="O7" i="20"/>
  <c r="L7" i="20"/>
  <c r="L2" i="20"/>
  <c r="H3" i="20"/>
  <c r="H4" i="20"/>
  <c r="H5" i="20"/>
  <c r="H6" i="20"/>
  <c r="H7" i="20"/>
  <c r="H8" i="20"/>
  <c r="H9" i="20"/>
  <c r="H10" i="20"/>
  <c r="H11" i="20"/>
  <c r="H2" i="20"/>
  <c r="G3" i="20"/>
  <c r="G4" i="20"/>
  <c r="G5" i="20"/>
  <c r="G6" i="20"/>
  <c r="G7" i="20"/>
  <c r="G8" i="20"/>
  <c r="G9" i="20"/>
  <c r="G10" i="20"/>
  <c r="G11" i="20"/>
  <c r="G2" i="20"/>
  <c r="B6" i="21"/>
  <c r="B5" i="21"/>
  <c r="B4" i="21"/>
  <c r="B3" i="21"/>
  <c r="G3" i="19"/>
  <c r="G4" i="19"/>
  <c r="G5" i="19"/>
  <c r="G6" i="19"/>
  <c r="G7" i="19"/>
  <c r="G8" i="19"/>
  <c r="G9" i="19"/>
  <c r="G10" i="19"/>
  <c r="G11" i="19"/>
  <c r="G12" i="19"/>
  <c r="G13" i="19"/>
  <c r="G2" i="19"/>
  <c r="F3" i="19"/>
  <c r="F4" i="19"/>
  <c r="F5" i="19"/>
  <c r="F6" i="19"/>
  <c r="F7" i="19"/>
  <c r="F8" i="19"/>
  <c r="F9" i="19"/>
  <c r="F10" i="19"/>
  <c r="F11" i="19"/>
  <c r="F12" i="19"/>
  <c r="F13" i="19"/>
  <c r="F2" i="19"/>
  <c r="E3" i="19"/>
  <c r="E4" i="19"/>
  <c r="E5" i="19"/>
  <c r="E6" i="19"/>
  <c r="E7" i="19"/>
  <c r="E8" i="19"/>
  <c r="E9" i="19"/>
  <c r="E10" i="19"/>
  <c r="E11" i="19"/>
  <c r="E12" i="19"/>
  <c r="E13" i="19"/>
  <c r="E2" i="19"/>
  <c r="G16" i="12"/>
  <c r="G15" i="12"/>
  <c r="G10" i="12"/>
  <c r="G11" i="12"/>
  <c r="G9" i="12"/>
  <c r="H4" i="12"/>
  <c r="H3" i="12"/>
  <c r="H2" i="12"/>
  <c r="G3" i="12"/>
  <c r="G4" i="12"/>
  <c r="G2" i="12"/>
  <c r="H3" i="9"/>
  <c r="H4" i="9"/>
  <c r="H2" i="9"/>
  <c r="G3" i="9"/>
  <c r="G4" i="9"/>
  <c r="G2" i="9"/>
  <c r="G9" i="8"/>
  <c r="G8" i="8"/>
  <c r="G3" i="8"/>
  <c r="G4" i="8"/>
  <c r="G2" i="8"/>
  <c r="G15" i="7"/>
  <c r="G14" i="7"/>
  <c r="G9" i="7"/>
  <c r="G10" i="7"/>
  <c r="G8" i="7"/>
  <c r="H3" i="7"/>
  <c r="H4" i="7"/>
  <c r="H2" i="7"/>
  <c r="G3" i="7"/>
  <c r="G4" i="7"/>
  <c r="G2" i="7"/>
  <c r="F3" i="6"/>
  <c r="F2" i="6"/>
  <c r="F1" i="6"/>
  <c r="X7" i="11"/>
  <c r="X6" i="11"/>
  <c r="X4" i="11"/>
  <c r="X3" i="11"/>
  <c r="F3" i="16"/>
  <c r="F4" i="16"/>
  <c r="F5" i="16"/>
  <c r="F6" i="16"/>
  <c r="F7" i="16"/>
  <c r="F8" i="16"/>
  <c r="F9" i="16"/>
  <c r="F10" i="16"/>
  <c r="F11" i="16"/>
  <c r="F12" i="16"/>
  <c r="F13" i="16"/>
  <c r="F2" i="16"/>
  <c r="E3" i="16"/>
  <c r="E4" i="16"/>
  <c r="E5" i="16"/>
  <c r="E6" i="16"/>
  <c r="E7" i="16"/>
  <c r="E8" i="16"/>
  <c r="E9" i="16"/>
  <c r="E10" i="16"/>
  <c r="E11" i="16"/>
  <c r="E12" i="16"/>
  <c r="E13" i="16"/>
  <c r="E2" i="16"/>
  <c r="E3" i="17"/>
  <c r="E4" i="17"/>
  <c r="E5" i="17"/>
  <c r="E6" i="17"/>
  <c r="E7" i="17"/>
  <c r="E8" i="17"/>
  <c r="E9" i="17"/>
  <c r="E10" i="17"/>
  <c r="E11" i="17"/>
  <c r="E12" i="17"/>
  <c r="E13" i="17"/>
  <c r="E2" i="17"/>
  <c r="F3" i="15"/>
  <c r="F4" i="15"/>
  <c r="F5" i="15"/>
  <c r="F6" i="15"/>
  <c r="F7" i="15"/>
  <c r="F8" i="15"/>
  <c r="F9" i="15"/>
  <c r="F10" i="15"/>
  <c r="F11" i="15"/>
  <c r="F12" i="15"/>
  <c r="F13" i="15"/>
  <c r="F2" i="15"/>
  <c r="E3" i="15"/>
  <c r="E4" i="15"/>
  <c r="E5" i="15"/>
  <c r="E6" i="15"/>
  <c r="E7" i="15"/>
  <c r="E8" i="15"/>
  <c r="E9" i="15"/>
  <c r="E10" i="15"/>
  <c r="E11" i="15"/>
  <c r="E12" i="15"/>
  <c r="E13" i="15"/>
  <c r="E2" i="15"/>
  <c r="D3" i="15"/>
  <c r="D4" i="15"/>
  <c r="D5" i="15"/>
  <c r="D6" i="15"/>
  <c r="D7" i="15"/>
  <c r="D8" i="15"/>
  <c r="D9" i="15"/>
  <c r="D10" i="15"/>
  <c r="D11" i="15"/>
  <c r="D12" i="15"/>
  <c r="D13" i="15"/>
  <c r="D2" i="15"/>
  <c r="E3" i="14"/>
  <c r="E4" i="14"/>
  <c r="E5" i="14"/>
  <c r="E6" i="14"/>
  <c r="E7" i="14"/>
  <c r="E8" i="14"/>
  <c r="E9" i="14"/>
  <c r="E10" i="14"/>
  <c r="E11" i="14"/>
  <c r="E12" i="14"/>
  <c r="E13" i="14"/>
  <c r="E2" i="14"/>
  <c r="A3" i="11" l="1"/>
  <c r="A2" i="11"/>
  <c r="C40" i="26"/>
  <c r="C38" i="26"/>
  <c r="C32" i="26"/>
  <c r="C28" i="26"/>
  <c r="C31" i="26"/>
  <c r="C29" i="26"/>
  <c r="C27" i="26"/>
  <c r="C23" i="26"/>
  <c r="C22" i="26"/>
  <c r="C21" i="26"/>
  <c r="A6" i="26"/>
  <c r="B17" i="26" s="1"/>
  <c r="A4" i="26"/>
  <c r="C4" i="26" s="1"/>
  <c r="A3" i="26"/>
  <c r="C3" i="26" s="1"/>
  <c r="C31" i="8"/>
  <c r="D31" i="8"/>
  <c r="E31" i="8"/>
  <c r="F25" i="8"/>
  <c r="G25" i="8"/>
  <c r="C32" i="8"/>
  <c r="D32" i="8"/>
  <c r="E32" i="8"/>
  <c r="F26" i="8"/>
  <c r="G26" i="8"/>
  <c r="C33" i="8"/>
  <c r="D33" i="8"/>
  <c r="E33" i="8"/>
  <c r="F27" i="8"/>
  <c r="G27" i="8"/>
  <c r="C34" i="8"/>
  <c r="D34" i="8"/>
  <c r="E34" i="8"/>
  <c r="F28" i="8"/>
  <c r="G28" i="8"/>
  <c r="C35" i="8"/>
  <c r="D35" i="8"/>
  <c r="E35" i="8"/>
  <c r="F29" i="8"/>
  <c r="G29" i="8"/>
  <c r="D30" i="8"/>
  <c r="E30" i="8"/>
  <c r="F24" i="8"/>
  <c r="G24" i="8"/>
  <c r="C30" i="8"/>
  <c r="B15" i="26" l="1"/>
  <c r="B16" i="26"/>
  <c r="A14" i="26"/>
  <c r="B14" i="26"/>
  <c r="A10" i="26"/>
  <c r="A8" i="26"/>
  <c r="A9" i="26"/>
  <c r="A12" i="26" l="1"/>
  <c r="A20" i="26" s="1"/>
  <c r="A18" i="26" l="1"/>
  <c r="A15" i="26"/>
  <c r="A16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E4CBCB-7978-4779-AC15-9774B07BDE24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</connections>
</file>

<file path=xl/sharedStrings.xml><?xml version="1.0" encoding="utf-8"?>
<sst xmlns="http://schemas.openxmlformats.org/spreadsheetml/2006/main" count="803" uniqueCount="333">
  <si>
    <t>Ashok Singh</t>
  </si>
  <si>
    <t>Shankar Jadhav</t>
  </si>
  <si>
    <t>Vinod Kale</t>
  </si>
  <si>
    <t>Rajendra Verma</t>
  </si>
  <si>
    <t>Raj Singh</t>
  </si>
  <si>
    <t>Santosh Kale</t>
  </si>
  <si>
    <t>Sameer Shinde</t>
  </si>
  <si>
    <t>Ravi Verma</t>
  </si>
  <si>
    <t>Vinod Singh</t>
  </si>
  <si>
    <t>Kiran Katekar</t>
  </si>
  <si>
    <t>Ashok Singhania</t>
  </si>
  <si>
    <t>Viresh Pal</t>
  </si>
  <si>
    <t>Amount</t>
  </si>
  <si>
    <t>Employee Code</t>
  </si>
  <si>
    <t>Designation</t>
  </si>
  <si>
    <t>Salary</t>
  </si>
  <si>
    <t>TCS 1</t>
  </si>
  <si>
    <t>MIS Executive</t>
  </si>
  <si>
    <t>TCS 2</t>
  </si>
  <si>
    <t>Consultant</t>
  </si>
  <si>
    <t>TCS 3</t>
  </si>
  <si>
    <t>Accounts Executive</t>
  </si>
  <si>
    <t>TCS 4</t>
  </si>
  <si>
    <t>TCS 5</t>
  </si>
  <si>
    <t>TCS 6</t>
  </si>
  <si>
    <t>TCS 7</t>
  </si>
  <si>
    <t>TCS 8</t>
  </si>
  <si>
    <t>TCS 9</t>
  </si>
  <si>
    <t>TCS 10</t>
  </si>
  <si>
    <t>TCS 11</t>
  </si>
  <si>
    <t>TCS 12</t>
  </si>
  <si>
    <t>Date</t>
  </si>
  <si>
    <t>Transction Type</t>
  </si>
  <si>
    <t>Debit/Credit</t>
  </si>
  <si>
    <t>Online</t>
  </si>
  <si>
    <t>Cash</t>
  </si>
  <si>
    <t>Debit Card</t>
  </si>
  <si>
    <t>Debit</t>
  </si>
  <si>
    <t>Credit</t>
  </si>
  <si>
    <t>TOTAL</t>
  </si>
  <si>
    <t>SEMINAR SEAT BOOKINGS</t>
  </si>
  <si>
    <t>BOOKED</t>
  </si>
  <si>
    <t>PENDING</t>
  </si>
  <si>
    <t>MALE</t>
  </si>
  <si>
    <t>FEMALE</t>
  </si>
  <si>
    <t>F</t>
  </si>
  <si>
    <t>M</t>
  </si>
  <si>
    <t>RATE</t>
  </si>
  <si>
    <t>DVD</t>
  </si>
  <si>
    <t>PENDRIVE</t>
  </si>
  <si>
    <t>SPEAKER</t>
  </si>
  <si>
    <t>LED</t>
  </si>
  <si>
    <t>LCD</t>
  </si>
  <si>
    <t>HDD</t>
  </si>
  <si>
    <t>CPU</t>
  </si>
  <si>
    <t>RAM</t>
  </si>
  <si>
    <t>SPMS</t>
  </si>
  <si>
    <t>EMP</t>
  </si>
  <si>
    <t>BASIC SALARY</t>
  </si>
  <si>
    <t>BONUS</t>
  </si>
  <si>
    <t>DESG</t>
  </si>
  <si>
    <t>MANAGER</t>
  </si>
  <si>
    <t>SUPERVISOR</t>
  </si>
  <si>
    <t>PEON</t>
  </si>
  <si>
    <t>CLERK</t>
  </si>
  <si>
    <t>CITY AND PINCODE</t>
  </si>
  <si>
    <t>Mumbai -400086</t>
  </si>
  <si>
    <t>Mumbai -400087</t>
  </si>
  <si>
    <t>Mumbai -400088</t>
  </si>
  <si>
    <t>Mumbai -400089</t>
  </si>
  <si>
    <t>Mumbai -400090</t>
  </si>
  <si>
    <t>Mumbai -400091</t>
  </si>
  <si>
    <t>Mumbai -400092</t>
  </si>
  <si>
    <t>Mumbai -400093</t>
  </si>
  <si>
    <t>Mumbai -400094</t>
  </si>
  <si>
    <t>Mumbai -400095</t>
  </si>
  <si>
    <t>Mumbai -400096</t>
  </si>
  <si>
    <t>Mumbai -400097</t>
  </si>
  <si>
    <t>INTEREST</t>
  </si>
  <si>
    <t>TOTAL PAID</t>
  </si>
  <si>
    <t>AFTER 60 M</t>
  </si>
  <si>
    <t>FUTURE VALUE</t>
  </si>
  <si>
    <t>LOAN AMOUNT</t>
  </si>
  <si>
    <t>EMI</t>
  </si>
  <si>
    <t>PMT</t>
  </si>
  <si>
    <t>PERIOD</t>
  </si>
  <si>
    <t>"N" NUMBER OF PERIOD</t>
  </si>
  <si>
    <t>MONTHS</t>
  </si>
  <si>
    <t>DURATION</t>
  </si>
  <si>
    <t>P.V</t>
  </si>
  <si>
    <t>RUPEES</t>
  </si>
  <si>
    <t>INTEREST RATE</t>
  </si>
  <si>
    <t>%AGE</t>
  </si>
  <si>
    <t>PER ANNM</t>
  </si>
  <si>
    <t>FORMULA ARGUMENTS</t>
  </si>
  <si>
    <t>GENERAL NAMES</t>
  </si>
  <si>
    <t>FV</t>
  </si>
  <si>
    <t>PV</t>
  </si>
  <si>
    <t>PPMT</t>
  </si>
  <si>
    <t>IPMT</t>
  </si>
  <si>
    <t>PAYMENT TERMS</t>
  </si>
  <si>
    <t>DELHI,400001</t>
  </si>
  <si>
    <t>9812-12-12-12</t>
  </si>
  <si>
    <t>MUMBAI, 400086</t>
  </si>
  <si>
    <t>9812-34-56-78</t>
  </si>
  <si>
    <t>AFTER SUBSTITUTE</t>
  </si>
  <si>
    <t>MOB NO / DATA</t>
  </si>
  <si>
    <t xml:space="preserve">सबस्टीट्यूट  फंक्शन का प्रैक्टिकल यूज़ सीखो </t>
  </si>
  <si>
    <t>Debit CARD</t>
  </si>
  <si>
    <t>COUNTING</t>
  </si>
  <si>
    <t>ITEM NAME</t>
  </si>
  <si>
    <t>QTY</t>
  </si>
  <si>
    <t>&gt;=</t>
  </si>
  <si>
    <t>SALARY</t>
  </si>
  <si>
    <t>LEFT</t>
  </si>
  <si>
    <t>RIGHT</t>
  </si>
  <si>
    <t>MID</t>
  </si>
  <si>
    <t>ABC986</t>
  </si>
  <si>
    <t>HTG987</t>
  </si>
  <si>
    <t>985HGF</t>
  </si>
  <si>
    <t>748IKJ</t>
  </si>
  <si>
    <t>RSF854</t>
  </si>
  <si>
    <t>IUW965</t>
  </si>
  <si>
    <t>655AVS</t>
  </si>
  <si>
    <t>321ERR</t>
  </si>
  <si>
    <t>GFD955</t>
  </si>
  <si>
    <t>965UJH</t>
  </si>
  <si>
    <t>HPK965</t>
  </si>
  <si>
    <t>857OKJ</t>
  </si>
  <si>
    <t>965PLK</t>
  </si>
  <si>
    <t>147SDG</t>
  </si>
  <si>
    <t>TDG854</t>
  </si>
  <si>
    <t>OHI632</t>
  </si>
  <si>
    <t>MOI974</t>
  </si>
  <si>
    <t>Text</t>
  </si>
  <si>
    <t>Number</t>
  </si>
  <si>
    <t>Name &amp; Number</t>
  </si>
  <si>
    <t>harshal</t>
  </si>
  <si>
    <t>ms</t>
  </si>
  <si>
    <t>faiz</t>
  </si>
  <si>
    <t>ms aditi</t>
  </si>
  <si>
    <t>Sunday</t>
  </si>
  <si>
    <t>m</t>
  </si>
  <si>
    <t>mm</t>
  </si>
  <si>
    <t>mmm</t>
  </si>
  <si>
    <t>mmmm</t>
  </si>
  <si>
    <t>&gt;=25000</t>
  </si>
  <si>
    <t>green text</t>
  </si>
  <si>
    <t>&lt;25000</t>
  </si>
  <si>
    <t>red</t>
  </si>
  <si>
    <t>[green][&gt;=25000];[red][&lt;25000]</t>
  </si>
  <si>
    <t>barack hussein</t>
  </si>
  <si>
    <t>george walker</t>
  </si>
  <si>
    <t>william jefferson</t>
  </si>
  <si>
    <t>george herbert</t>
  </si>
  <si>
    <t>ronald wilson</t>
  </si>
  <si>
    <t>james earl</t>
  </si>
  <si>
    <t>gerald rudolph</t>
  </si>
  <si>
    <t>richard milhous</t>
  </si>
  <si>
    <t>lyndon baines</t>
  </si>
  <si>
    <t>john fitzgerald</t>
  </si>
  <si>
    <t>dwight david</t>
  </si>
  <si>
    <t>harry s</t>
  </si>
  <si>
    <t>franklin delano</t>
  </si>
  <si>
    <t>herbert clark</t>
  </si>
  <si>
    <t>calvin coolidge</t>
  </si>
  <si>
    <t>warren gamaliel</t>
  </si>
  <si>
    <t>woodrow wilson</t>
  </si>
  <si>
    <t>william howard</t>
  </si>
  <si>
    <t>theodore roosevelt</t>
  </si>
  <si>
    <t>william mckinley</t>
  </si>
  <si>
    <t>benjamin harrison</t>
  </si>
  <si>
    <t>grover cleveland</t>
  </si>
  <si>
    <t>chester alan</t>
  </si>
  <si>
    <t>james abram</t>
  </si>
  <si>
    <t>rutherford birchard</t>
  </si>
  <si>
    <t>ulysses simpson</t>
  </si>
  <si>
    <t>andrew johnson</t>
  </si>
  <si>
    <t>abraham lincoln</t>
  </si>
  <si>
    <t>james buchanan</t>
  </si>
  <si>
    <t>franklin pierce</t>
  </si>
  <si>
    <t>millard fillmore</t>
  </si>
  <si>
    <t>zachary taylor</t>
  </si>
  <si>
    <t>james knox</t>
  </si>
  <si>
    <t>john tyler</t>
  </si>
  <si>
    <t>william henry</t>
  </si>
  <si>
    <t>martin van</t>
  </si>
  <si>
    <t>andrew jackson</t>
  </si>
  <si>
    <t>john quincy</t>
  </si>
  <si>
    <t>james monroe</t>
  </si>
  <si>
    <t>james madison</t>
  </si>
  <si>
    <t>thomas jefferson</t>
  </si>
  <si>
    <t>john adams</t>
  </si>
  <si>
    <t>george washington</t>
  </si>
  <si>
    <t>first last</t>
  </si>
  <si>
    <t>last</t>
  </si>
  <si>
    <t>yes</t>
  </si>
  <si>
    <t>no</t>
  </si>
  <si>
    <t>tcs 13</t>
  </si>
  <si>
    <t>tcs 14</t>
  </si>
  <si>
    <t>tcs 15</t>
  </si>
  <si>
    <t>cash</t>
  </si>
  <si>
    <t xml:space="preserve">total </t>
  </si>
  <si>
    <t>use sum if</t>
  </si>
  <si>
    <t>amount</t>
  </si>
  <si>
    <t>sumproduct</t>
  </si>
  <si>
    <t>use sum ifs</t>
  </si>
  <si>
    <t>&gt;250</t>
  </si>
  <si>
    <t>total</t>
  </si>
  <si>
    <t>bonus</t>
  </si>
  <si>
    <t>otherwise no</t>
  </si>
  <si>
    <t>&gt;90</t>
  </si>
  <si>
    <t>A</t>
  </si>
  <si>
    <t>&gt;75</t>
  </si>
  <si>
    <t>B</t>
  </si>
  <si>
    <t>&gt;60</t>
  </si>
  <si>
    <t>c</t>
  </si>
  <si>
    <t>D</t>
  </si>
  <si>
    <t>Date function</t>
  </si>
  <si>
    <t>today</t>
  </si>
  <si>
    <t>now</t>
  </si>
  <si>
    <t>year</t>
  </si>
  <si>
    <t>month</t>
  </si>
  <si>
    <t>day</t>
  </si>
  <si>
    <t>date</t>
  </si>
  <si>
    <t xml:space="preserve">text </t>
  </si>
  <si>
    <t>edate</t>
  </si>
  <si>
    <t>EOMONTH</t>
  </si>
  <si>
    <t>EDATE</t>
  </si>
  <si>
    <t>ADVANCE DATE FUNCTION</t>
  </si>
  <si>
    <t>TEXT FUNCTION</t>
  </si>
  <si>
    <t>Saturday</t>
  </si>
  <si>
    <t>holidays</t>
  </si>
  <si>
    <t>only Sunday</t>
  </si>
  <si>
    <t>no extra holidays</t>
  </si>
  <si>
    <t>Count</t>
  </si>
  <si>
    <t>Bonus</t>
  </si>
  <si>
    <t>admin</t>
  </si>
  <si>
    <t>define %</t>
  </si>
  <si>
    <t>define value</t>
  </si>
  <si>
    <t xml:space="preserve">use both logical condition </t>
  </si>
  <si>
    <t xml:space="preserve">and </t>
  </si>
  <si>
    <t>or</t>
  </si>
  <si>
    <t>Yes</t>
  </si>
  <si>
    <t>barack</t>
  </si>
  <si>
    <t>george</t>
  </si>
  <si>
    <t>william</t>
  </si>
  <si>
    <t>ronald</t>
  </si>
  <si>
    <t>james</t>
  </si>
  <si>
    <t>gerald</t>
  </si>
  <si>
    <t>richard</t>
  </si>
  <si>
    <t>lyndon</t>
  </si>
  <si>
    <t>john</t>
  </si>
  <si>
    <t>dwight</t>
  </si>
  <si>
    <t>harry</t>
  </si>
  <si>
    <t>franklin</t>
  </si>
  <si>
    <t>herbert</t>
  </si>
  <si>
    <t>calvin</t>
  </si>
  <si>
    <t>warren</t>
  </si>
  <si>
    <t>woodrow</t>
  </si>
  <si>
    <t>theodore</t>
  </si>
  <si>
    <t>benjamin</t>
  </si>
  <si>
    <t>grover</t>
  </si>
  <si>
    <t>chester</t>
  </si>
  <si>
    <t>rutherford</t>
  </si>
  <si>
    <t>ulysses</t>
  </si>
  <si>
    <t>andrew</t>
  </si>
  <si>
    <t>abraham</t>
  </si>
  <si>
    <t>hussein</t>
  </si>
  <si>
    <t>walker</t>
  </si>
  <si>
    <t>jefferson</t>
  </si>
  <si>
    <t>wilson</t>
  </si>
  <si>
    <t>earl</t>
  </si>
  <si>
    <t>rudolph</t>
  </si>
  <si>
    <t>milhous</t>
  </si>
  <si>
    <t>baines</t>
  </si>
  <si>
    <t>fitzgerald</t>
  </si>
  <si>
    <t>david</t>
  </si>
  <si>
    <t>s</t>
  </si>
  <si>
    <t>delano</t>
  </si>
  <si>
    <t>clark</t>
  </si>
  <si>
    <t>coolidge</t>
  </si>
  <si>
    <t>gamaliel</t>
  </si>
  <si>
    <t>howard</t>
  </si>
  <si>
    <t>roosevelt</t>
  </si>
  <si>
    <t>mckinley</t>
  </si>
  <si>
    <t>harrison</t>
  </si>
  <si>
    <t>cleveland</t>
  </si>
  <si>
    <t>alan</t>
  </si>
  <si>
    <t>abram</t>
  </si>
  <si>
    <t>birchard</t>
  </si>
  <si>
    <t>simpson</t>
  </si>
  <si>
    <t>johnson</t>
  </si>
  <si>
    <t>lincoln</t>
  </si>
  <si>
    <t>Column1</t>
  </si>
  <si>
    <t>Column2</t>
  </si>
  <si>
    <t>Column3</t>
  </si>
  <si>
    <t>first</t>
  </si>
  <si>
    <t>millard</t>
  </si>
  <si>
    <t>zachary</t>
  </si>
  <si>
    <t>martin</t>
  </si>
  <si>
    <t>thomas</t>
  </si>
  <si>
    <t>buchanan</t>
  </si>
  <si>
    <t>pierce</t>
  </si>
  <si>
    <t>fillmore</t>
  </si>
  <si>
    <t>taylor</t>
  </si>
  <si>
    <t>knox</t>
  </si>
  <si>
    <t>tyler</t>
  </si>
  <si>
    <t>henry</t>
  </si>
  <si>
    <t>van</t>
  </si>
  <si>
    <t>jackson</t>
  </si>
  <si>
    <t>quincy</t>
  </si>
  <si>
    <t>monroe</t>
  </si>
  <si>
    <t>madison</t>
  </si>
  <si>
    <t>adams</t>
  </si>
  <si>
    <t>washington</t>
  </si>
  <si>
    <t>ABC</t>
  </si>
  <si>
    <t>HTG</t>
  </si>
  <si>
    <t>RSF</t>
  </si>
  <si>
    <t>IUW</t>
  </si>
  <si>
    <t>GFD</t>
  </si>
  <si>
    <t>HPK</t>
  </si>
  <si>
    <t>TDG</t>
  </si>
  <si>
    <t>OHI</t>
  </si>
  <si>
    <t>MOI</t>
  </si>
  <si>
    <t>HGF</t>
  </si>
  <si>
    <t>IKJ</t>
  </si>
  <si>
    <t>AVS</t>
  </si>
  <si>
    <t>ERR</t>
  </si>
  <si>
    <t>UJH</t>
  </si>
  <si>
    <t>OKJ</t>
  </si>
  <si>
    <t>PLK</t>
  </si>
  <si>
    <t>SDG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</si>
</sst>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&quot;₹&quot;\ #,##0.00;[Red]&quot;₹&quot;\ \-#,##0.00"/>
    <numFmt numFmtId="43" formatCode="_ * #,##0.00_ ;_ * \-#,##0.00_ ;_ * &quot;-&quot;??_ ;_ @_ "/>
    <numFmt numFmtId="164" formatCode="_(* #,##0.00_);_(* \(#,##0.00\);_(* &quot;-&quot;??_);_(@_)"/>
    <numFmt numFmtId="165" formatCode="&quot;Rs.&quot;\ #,##0.00"/>
    <numFmt numFmtId="166" formatCode="&quot;Rs.&quot;\ #,##0.00;[Red]&quot;Rs.&quot;\ \-#,##0.00"/>
    <numFmt numFmtId="167" formatCode="_ [$₹-4009]\ * #,##0.00_ ;_ [$₹-4009]\ * \-#,##0.00_ ;_ [$₹-4009]\ * &quot;-&quot;??_ ;_ @_ "/>
    <numFmt numFmtId="168" formatCode="_ [$₹-4009]\ * #,##0_ ;_ [$₹-4009]\ * \-#,##0_ ;_ [$₹-4009]\ * &quot;-&quot;??_ ;_ @_ "/>
    <numFmt numFmtId="169" formatCode="00000"/>
    <numFmt numFmtId="170" formatCode="0\ &quot;Days&quot;"/>
    <numFmt numFmtId="171" formatCode="0\ &quot;days&quot;"/>
    <numFmt numFmtId="172" formatCode="&quot;Quarter&quot;\ 0"/>
    <numFmt numFmtId="173" formatCode="&quot;MR&quot;\ @"/>
    <numFmt numFmtId="174" formatCode="&quot;ms&quot;"/>
    <numFmt numFmtId="175" formatCode="dd"/>
    <numFmt numFmtId="176" formatCode="dddd"/>
    <numFmt numFmtId="177" formatCode="[Green][&gt;=25000]General;[Red][&lt;25000]General"/>
    <numFmt numFmtId="178" formatCode="[$-F800]dddd\,\ mmmm\ dd\,\ 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theme="0"/>
      <name val="Arial Black"/>
      <family val="2"/>
    </font>
    <font>
      <b/>
      <sz val="11"/>
      <color rgb="FF00206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3" borderId="1" xfId="0" applyFill="1" applyBorder="1"/>
    <xf numFmtId="0" fontId="6" fillId="3" borderId="2" xfId="0" applyFont="1" applyFill="1" applyBorder="1"/>
    <xf numFmtId="0" fontId="0" fillId="0" borderId="3" xfId="0" applyBorder="1"/>
    <xf numFmtId="2" fontId="0" fillId="0" borderId="0" xfId="0" applyNumberFormat="1"/>
    <xf numFmtId="2" fontId="0" fillId="0" borderId="1" xfId="0" applyNumberFormat="1" applyBorder="1"/>
    <xf numFmtId="166" fontId="0" fillId="0" borderId="0" xfId="0" applyNumberFormat="1"/>
    <xf numFmtId="166" fontId="0" fillId="0" borderId="1" xfId="0" applyNumberFormat="1" applyBorder="1"/>
    <xf numFmtId="9" fontId="0" fillId="0" borderId="1" xfId="0" applyNumberFormat="1" applyBorder="1"/>
    <xf numFmtId="0" fontId="0" fillId="0" borderId="7" xfId="0" applyBorder="1"/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0" fillId="0" borderId="8" xfId="0" applyBorder="1"/>
    <xf numFmtId="2" fontId="6" fillId="0" borderId="1" xfId="0" applyNumberFormat="1" applyFont="1" applyBorder="1"/>
    <xf numFmtId="165" fontId="0" fillId="0" borderId="0" xfId="0" applyNumberFormat="1"/>
    <xf numFmtId="0" fontId="6" fillId="0" borderId="0" xfId="0" applyFont="1" applyAlignment="1">
      <alignment vertical="center"/>
    </xf>
    <xf numFmtId="0" fontId="2" fillId="5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9" xfId="0" applyBorder="1"/>
    <xf numFmtId="0" fontId="0" fillId="3" borderId="0" xfId="0" applyFill="1"/>
    <xf numFmtId="0" fontId="0" fillId="3" borderId="2" xfId="0" applyFill="1" applyBorder="1"/>
    <xf numFmtId="9" fontId="0" fillId="0" borderId="0" xfId="0" applyNumberFormat="1"/>
    <xf numFmtId="9" fontId="0" fillId="6" borderId="0" xfId="0" applyNumberFormat="1" applyFill="1" applyAlignment="1">
      <alignment horizontal="center" vertical="center"/>
    </xf>
    <xf numFmtId="43" fontId="0" fillId="0" borderId="0" xfId="1" applyFont="1"/>
    <xf numFmtId="168" fontId="5" fillId="0" borderId="1" xfId="4" applyNumberFormat="1" applyFont="1" applyBorder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0" fontId="0" fillId="0" borderId="0" xfId="0" quotePrefix="1"/>
    <xf numFmtId="177" fontId="0" fillId="0" borderId="0" xfId="0" applyNumberFormat="1"/>
    <xf numFmtId="0" fontId="10" fillId="0" borderId="0" xfId="0" applyFont="1"/>
    <xf numFmtId="167" fontId="0" fillId="0" borderId="1" xfId="0" applyNumberFormat="1" applyBorder="1"/>
    <xf numFmtId="14" fontId="0" fillId="0" borderId="0" xfId="0" applyNumberFormat="1"/>
    <xf numFmtId="10" fontId="0" fillId="0" borderId="0" xfId="0" applyNumberFormat="1"/>
    <xf numFmtId="8" fontId="0" fillId="0" borderId="0" xfId="0" applyNumberFormat="1"/>
    <xf numFmtId="0" fontId="0" fillId="0" borderId="10" xfId="0" applyBorder="1"/>
    <xf numFmtId="0" fontId="4" fillId="2" borderId="11" xfId="0" applyFont="1" applyFill="1" applyBorder="1"/>
    <xf numFmtId="0" fontId="4" fillId="2" borderId="3" xfId="0" applyFont="1" applyFill="1" applyBorder="1"/>
    <xf numFmtId="43" fontId="4" fillId="2" borderId="3" xfId="1" applyFont="1" applyFill="1" applyBorder="1"/>
    <xf numFmtId="0" fontId="0" fillId="0" borderId="12" xfId="0" applyBorder="1"/>
    <xf numFmtId="0" fontId="0" fillId="0" borderId="13" xfId="0" applyBorder="1"/>
    <xf numFmtId="9" fontId="0" fillId="0" borderId="1" xfId="4" applyFont="1" applyBorder="1"/>
    <xf numFmtId="2" fontId="0" fillId="0" borderId="1" xfId="4" applyNumberFormat="1" applyFont="1" applyBorder="1"/>
    <xf numFmtId="178" fontId="0" fillId="0" borderId="0" xfId="0" applyNumberFormat="1"/>
    <xf numFmtId="8" fontId="0" fillId="0" borderId="1" xfId="0" applyNumberFormat="1" applyBorder="1"/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</cellXfs>
  <cellStyles count="5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  <cellStyle name="Percent" xfId="4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numFmt numFmtId="168" formatCode="_ [$₹-4009]\ * #,##0_ ;_ [$₹-4009]\ * \-#,##0_ ;_ [$₹-4009]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962024</xdr:colOff>
      <xdr:row>36</xdr:row>
      <xdr:rowOff>42864</xdr:rowOff>
    </xdr:from>
    <xdr:to>
      <xdr:col>5</xdr:col>
      <xdr:colOff>690562</xdr:colOff>
      <xdr:row>37</xdr:row>
      <xdr:rowOff>157165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0B8404D9-2671-47E9-8FCC-E48954408F62}"/>
            </a:ext>
          </a:extLst>
        </xdr:cNvPr>
        <xdr:cNvSpPr/>
      </xdr:nvSpPr>
      <xdr:spPr>
        <a:xfrm>
          <a:off x="1928812" y="5834064"/>
          <a:ext cx="2700338" cy="29527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38100</xdr:colOff>
      <xdr:row>36</xdr:row>
      <xdr:rowOff>171452</xdr:rowOff>
    </xdr:from>
    <xdr:to>
      <xdr:col>1</xdr:col>
      <xdr:colOff>381000</xdr:colOff>
      <xdr:row>43</xdr:row>
      <xdr:rowOff>142877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7FAA60FF-0A25-4761-9BEC-0190D7AE8AE0}"/>
            </a:ext>
          </a:extLst>
        </xdr:cNvPr>
        <xdr:cNvSpPr/>
      </xdr:nvSpPr>
      <xdr:spPr>
        <a:xfrm>
          <a:off x="1004888" y="5962652"/>
          <a:ext cx="342900" cy="12382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1051891</xdr:colOff>
      <xdr:row>3</xdr:row>
      <xdr:rowOff>99392</xdr:rowOff>
    </xdr:from>
    <xdr:to>
      <xdr:col>7</xdr:col>
      <xdr:colOff>455544</xdr:colOff>
      <xdr:row>13</xdr:row>
      <xdr:rowOff>66261</xdr:rowOff>
    </xdr:to>
    <xdr:grpSp>
      <xdr:nvGrpSpPr>
        <xdr:cNvPr id="2" name="Group 1" hidden="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pSpPr/>
      </xdr:nvGrpSpPr>
      <xdr:grpSpPr>
        <a:xfrm>
          <a:off x="1797326" y="720588"/>
          <a:ext cx="5259457" cy="1871869"/>
          <a:chOff x="1794184" y="723444"/>
          <a:chExt cx="5151498" cy="1911283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00000000-0008-0000-1300-000003000000}"/>
              </a:ext>
            </a:extLst>
          </xdr:cNvPr>
          <xdr:cNvCxnSpPr/>
        </xdr:nvCxnSpPr>
        <xdr:spPr>
          <a:xfrm flipV="1">
            <a:off x="2583317" y="1291517"/>
            <a:ext cx="2387391" cy="16565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00000000-0008-0000-1300-000004000000}"/>
              </a:ext>
            </a:extLst>
          </xdr:cNvPr>
          <xdr:cNvCxnSpPr/>
        </xdr:nvCxnSpPr>
        <xdr:spPr>
          <a:xfrm>
            <a:off x="2568466" y="1707931"/>
            <a:ext cx="3225362" cy="580640"/>
          </a:xfrm>
          <a:prstGeom prst="bentConnector3">
            <a:avLst>
              <a:gd name="adj1" fmla="val 50000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Arrow Connector 9">
            <a:extLst>
              <a:ext uri="{FF2B5EF4-FFF2-40B4-BE49-F238E27FC236}">
                <a16:creationId xmlns:a16="http://schemas.microsoft.com/office/drawing/2014/main" id="{00000000-0008-0000-1300-000005000000}"/>
              </a:ext>
            </a:extLst>
          </xdr:cNvPr>
          <xdr:cNvCxnSpPr/>
        </xdr:nvCxnSpPr>
        <xdr:spPr>
          <a:xfrm>
            <a:off x="1794184" y="723444"/>
            <a:ext cx="4662252" cy="1911283"/>
          </a:xfrm>
          <a:prstGeom prst="bentConnector3">
            <a:avLst>
              <a:gd name="adj1" fmla="val -1571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00000000-0008-0000-1300-000006000000}"/>
              </a:ext>
            </a:extLst>
          </xdr:cNvPr>
          <xdr:cNvCxnSpPr/>
        </xdr:nvCxnSpPr>
        <xdr:spPr>
          <a:xfrm>
            <a:off x="6945681" y="2180897"/>
            <a:ext cx="1" cy="404134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k" displayName="sk" ref="A1:C16" totalsRowShown="0" headerRowDxfId="7" headerRowBorderDxfId="6" tableBorderDxfId="5">
  <autoFilter ref="A1:C16" xr:uid="{00000000-0009-0000-0100-000001000000}"/>
  <tableColumns count="3">
    <tableColumn id="1" xr3:uid="{00000000-0010-0000-0000-000001000000}" name="Employee Code" dataDxfId="4"/>
    <tableColumn id="2" xr3:uid="{00000000-0010-0000-0000-000002000000}" name="Designation" dataDxfId="3"/>
    <tableColumn id="3" xr3:uid="{00000000-0010-0000-0000-000003000000}" name="Salary" dataDxfId="2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F168E9-4D08-4E74-967F-C543096C5C45}" name="Table2" displayName="Table2" ref="A1:C45" totalsRowShown="0">
  <autoFilter ref="A1:C45" xr:uid="{9CF168E9-4D08-4E74-967F-C543096C5C45}"/>
  <tableColumns count="3">
    <tableColumn id="1" xr3:uid="{5080066C-35DA-4242-8CB5-AC60CAC2A935}" name="Column1"/>
    <tableColumn id="2" xr3:uid="{5E8B9742-071D-48D7-8513-9D83F9EAFB1D}" name="Column2"/>
    <tableColumn id="3" xr3:uid="{94E86564-6129-49A8-A0F8-B523BE6BBBBB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3"/>
  <sheetViews>
    <sheetView zoomScale="93" zoomScaleNormal="175" workbookViewId="0">
      <selection activeCell="H16" sqref="H16"/>
    </sheetView>
  </sheetViews>
  <sheetFormatPr defaultRowHeight="15" x14ac:dyDescent="0.25"/>
  <cols>
    <col min="1" max="1" width="10.42578125" bestFit="1" customWidth="1"/>
    <col min="2" max="2" width="14.28515625" bestFit="1" customWidth="1"/>
    <col min="3" max="3" width="13.7109375" customWidth="1"/>
    <col min="8" max="8" width="10.85546875" bestFit="1" customWidth="1"/>
  </cols>
  <sheetData>
    <row r="1" spans="1:9" x14ac:dyDescent="0.25">
      <c r="A1" s="3" t="s">
        <v>31</v>
      </c>
      <c r="B1" s="3" t="s">
        <v>57</v>
      </c>
      <c r="C1" s="3" t="s">
        <v>58</v>
      </c>
      <c r="D1" s="3" t="s">
        <v>59</v>
      </c>
      <c r="E1" s="3" t="s">
        <v>59</v>
      </c>
      <c r="F1" s="3" t="s">
        <v>59</v>
      </c>
      <c r="H1" s="22" t="s">
        <v>112</v>
      </c>
      <c r="I1" s="22" t="s">
        <v>209</v>
      </c>
    </row>
    <row r="2" spans="1:9" x14ac:dyDescent="0.25">
      <c r="A2" s="2">
        <v>43739</v>
      </c>
      <c r="B2" s="1" t="s">
        <v>0</v>
      </c>
      <c r="C2" s="1">
        <v>15000</v>
      </c>
      <c r="D2" s="49" t="str">
        <f>IF(C2&gt;$H$2,$I$2,"No")</f>
        <v>No</v>
      </c>
      <c r="E2" s="49">
        <f>IF(C2&gt;$H$2,$I$5,$I$6)</f>
        <v>0.05</v>
      </c>
      <c r="F2" s="50">
        <f>IF(C2&gt;$H$2,$I$8,$I$9)</f>
        <v>500</v>
      </c>
      <c r="H2">
        <v>20000</v>
      </c>
      <c r="I2" t="s">
        <v>243</v>
      </c>
    </row>
    <row r="3" spans="1:9" x14ac:dyDescent="0.25">
      <c r="A3" s="2">
        <v>43740</v>
      </c>
      <c r="B3" s="1" t="s">
        <v>1</v>
      </c>
      <c r="C3" s="1">
        <v>16000</v>
      </c>
      <c r="D3" s="49" t="str">
        <f t="shared" ref="D3:D13" si="0">IF(C3&gt;$H$2,$I$2,"No")</f>
        <v>No</v>
      </c>
      <c r="E3" s="49">
        <f t="shared" ref="E3:E13" si="1">IF(C3&gt;$H$2,$I$5,$I$6)</f>
        <v>0.05</v>
      </c>
      <c r="F3" s="50">
        <f t="shared" ref="F3:F13" si="2">IF(C3&gt;$H$2,$I$8,$I$9)</f>
        <v>500</v>
      </c>
      <c r="I3" t="s">
        <v>210</v>
      </c>
    </row>
    <row r="4" spans="1:9" x14ac:dyDescent="0.25">
      <c r="A4" s="2">
        <v>43741</v>
      </c>
      <c r="B4" s="1" t="s">
        <v>2</v>
      </c>
      <c r="C4" s="1">
        <v>18000</v>
      </c>
      <c r="D4" s="49" t="str">
        <f t="shared" si="0"/>
        <v>No</v>
      </c>
      <c r="E4" s="49">
        <f t="shared" si="1"/>
        <v>0.05</v>
      </c>
      <c r="F4" s="50">
        <f t="shared" si="2"/>
        <v>500</v>
      </c>
    </row>
    <row r="5" spans="1:9" x14ac:dyDescent="0.25">
      <c r="A5" s="2">
        <v>43742</v>
      </c>
      <c r="B5" s="1" t="s">
        <v>3</v>
      </c>
      <c r="C5" s="1">
        <v>19000</v>
      </c>
      <c r="D5" s="49" t="str">
        <f t="shared" si="0"/>
        <v>No</v>
      </c>
      <c r="E5" s="49">
        <f t="shared" si="1"/>
        <v>0.05</v>
      </c>
      <c r="F5" s="50">
        <f t="shared" si="2"/>
        <v>500</v>
      </c>
      <c r="H5" t="s">
        <v>238</v>
      </c>
      <c r="I5" s="24">
        <v>0.1</v>
      </c>
    </row>
    <row r="6" spans="1:9" x14ac:dyDescent="0.25">
      <c r="A6" s="2">
        <v>43743</v>
      </c>
      <c r="B6" s="1" t="s">
        <v>4</v>
      </c>
      <c r="C6" s="1">
        <v>25000</v>
      </c>
      <c r="D6" s="49" t="str">
        <f t="shared" si="0"/>
        <v>Yes</v>
      </c>
      <c r="E6" s="49">
        <f t="shared" si="1"/>
        <v>0.1</v>
      </c>
      <c r="F6" s="50">
        <f t="shared" si="2"/>
        <v>1000</v>
      </c>
      <c r="I6" s="24">
        <v>0.05</v>
      </c>
    </row>
    <row r="7" spans="1:9" x14ac:dyDescent="0.25">
      <c r="A7" s="2">
        <v>43744</v>
      </c>
      <c r="B7" s="1" t="s">
        <v>5</v>
      </c>
      <c r="C7" s="1">
        <v>22000</v>
      </c>
      <c r="D7" s="49" t="str">
        <f t="shared" si="0"/>
        <v>Yes</v>
      </c>
      <c r="E7" s="49">
        <f t="shared" si="1"/>
        <v>0.1</v>
      </c>
      <c r="F7" s="50">
        <f t="shared" si="2"/>
        <v>1000</v>
      </c>
    </row>
    <row r="8" spans="1:9" x14ac:dyDescent="0.25">
      <c r="A8" s="2">
        <v>43745</v>
      </c>
      <c r="B8" s="1" t="s">
        <v>6</v>
      </c>
      <c r="C8" s="1">
        <v>15000</v>
      </c>
      <c r="D8" s="49" t="str">
        <f t="shared" si="0"/>
        <v>No</v>
      </c>
      <c r="E8" s="49">
        <f t="shared" si="1"/>
        <v>0.05</v>
      </c>
      <c r="F8" s="50">
        <f t="shared" si="2"/>
        <v>500</v>
      </c>
      <c r="H8" t="s">
        <v>239</v>
      </c>
      <c r="I8">
        <v>1000</v>
      </c>
    </row>
    <row r="9" spans="1:9" x14ac:dyDescent="0.25">
      <c r="A9" s="2">
        <v>43746</v>
      </c>
      <c r="B9" s="1" t="s">
        <v>8</v>
      </c>
      <c r="C9" s="1">
        <v>35000</v>
      </c>
      <c r="D9" s="49" t="str">
        <f t="shared" si="0"/>
        <v>Yes</v>
      </c>
      <c r="E9" s="49">
        <f t="shared" si="1"/>
        <v>0.1</v>
      </c>
      <c r="F9" s="50">
        <f t="shared" si="2"/>
        <v>1000</v>
      </c>
      <c r="I9">
        <v>500</v>
      </c>
    </row>
    <row r="10" spans="1:9" x14ac:dyDescent="0.25">
      <c r="A10" s="2">
        <v>43747</v>
      </c>
      <c r="B10" s="1" t="s">
        <v>7</v>
      </c>
      <c r="C10" s="1">
        <v>15000</v>
      </c>
      <c r="D10" s="49" t="str">
        <f t="shared" si="0"/>
        <v>No</v>
      </c>
      <c r="E10" s="49">
        <f t="shared" si="1"/>
        <v>0.05</v>
      </c>
      <c r="F10" s="50">
        <f t="shared" si="2"/>
        <v>500</v>
      </c>
    </row>
    <row r="11" spans="1:9" x14ac:dyDescent="0.25">
      <c r="A11" s="2">
        <v>43748</v>
      </c>
      <c r="B11" s="1" t="s">
        <v>9</v>
      </c>
      <c r="C11" s="1">
        <v>35000</v>
      </c>
      <c r="D11" s="49" t="str">
        <f t="shared" si="0"/>
        <v>Yes</v>
      </c>
      <c r="E11" s="49">
        <f t="shared" si="1"/>
        <v>0.1</v>
      </c>
      <c r="F11" s="50">
        <f t="shared" si="2"/>
        <v>1000</v>
      </c>
    </row>
    <row r="12" spans="1:9" x14ac:dyDescent="0.25">
      <c r="A12" s="2">
        <v>43749</v>
      </c>
      <c r="B12" s="1" t="s">
        <v>10</v>
      </c>
      <c r="C12" s="1">
        <v>18000</v>
      </c>
      <c r="D12" s="49" t="str">
        <f t="shared" si="0"/>
        <v>No</v>
      </c>
      <c r="E12" s="49">
        <f t="shared" si="1"/>
        <v>0.05</v>
      </c>
      <c r="F12" s="50">
        <f t="shared" si="2"/>
        <v>500</v>
      </c>
    </row>
    <row r="13" spans="1:9" x14ac:dyDescent="0.25">
      <c r="A13" s="2">
        <v>43750</v>
      </c>
      <c r="B13" s="1" t="s">
        <v>11</v>
      </c>
      <c r="C13" s="1">
        <v>21000</v>
      </c>
      <c r="D13" s="49" t="str">
        <f t="shared" si="0"/>
        <v>Yes</v>
      </c>
      <c r="E13" s="49">
        <f t="shared" si="1"/>
        <v>0.1</v>
      </c>
      <c r="F13" s="50">
        <f t="shared" si="2"/>
        <v>1000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3"/>
  <sheetViews>
    <sheetView zoomScale="145" zoomScaleNormal="145" workbookViewId="0">
      <selection activeCell="E2" sqref="E2:E13"/>
    </sheetView>
  </sheetViews>
  <sheetFormatPr defaultRowHeight="15" x14ac:dyDescent="0.25"/>
  <cols>
    <col min="1" max="1" width="10.42578125" bestFit="1" customWidth="1"/>
    <col min="2" max="2" width="14.28515625" bestFit="1" customWidth="1"/>
    <col min="3" max="3" width="14.28515625" customWidth="1"/>
    <col min="4" max="4" width="13.7109375" customWidth="1"/>
    <col min="7" max="7" width="11.28515625" bestFit="1" customWidth="1"/>
    <col min="9" max="9" width="11.42578125" bestFit="1" customWidth="1"/>
  </cols>
  <sheetData>
    <row r="1" spans="1:17" x14ac:dyDescent="0.25">
      <c r="A1" s="3" t="s">
        <v>31</v>
      </c>
      <c r="B1" s="3" t="s">
        <v>57</v>
      </c>
      <c r="C1" s="3" t="s">
        <v>60</v>
      </c>
      <c r="D1" s="3" t="s">
        <v>58</v>
      </c>
      <c r="E1" s="3" t="s">
        <v>59</v>
      </c>
    </row>
    <row r="2" spans="1:17" x14ac:dyDescent="0.25">
      <c r="A2" s="2">
        <v>43739</v>
      </c>
      <c r="B2" s="1" t="s">
        <v>0</v>
      </c>
      <c r="C2" s="1" t="s">
        <v>61</v>
      </c>
      <c r="D2" s="1">
        <v>15000</v>
      </c>
      <c r="E2" s="1">
        <f>IF(C2=$I$4,$J$4,IF(C2=$I$6,$J$6,IF(C2=$I$8,$J$8,IF(C2=$I$10,$J$10,0))))</f>
        <v>5000</v>
      </c>
      <c r="P2" t="s">
        <v>211</v>
      </c>
      <c r="Q2" t="s">
        <v>212</v>
      </c>
    </row>
    <row r="3" spans="1:17" x14ac:dyDescent="0.25">
      <c r="A3" s="2">
        <v>43740</v>
      </c>
      <c r="B3" s="1" t="s">
        <v>1</v>
      </c>
      <c r="C3" s="1" t="s">
        <v>62</v>
      </c>
      <c r="D3" s="1">
        <v>16000</v>
      </c>
      <c r="E3" s="1">
        <f t="shared" ref="E3:E13" si="0">IF(C3=$I$4,$J$4,IF(C3=$I$6,$J$6,IF(C3=$I$8,$J$8,IF(C3=$I$10,$J$10,0))))</f>
        <v>3000</v>
      </c>
      <c r="P3" t="s">
        <v>213</v>
      </c>
      <c r="Q3" t="s">
        <v>214</v>
      </c>
    </row>
    <row r="4" spans="1:17" x14ac:dyDescent="0.25">
      <c r="A4" s="2">
        <v>43741</v>
      </c>
      <c r="B4" s="1" t="s">
        <v>2</v>
      </c>
      <c r="C4" s="1" t="s">
        <v>61</v>
      </c>
      <c r="D4" s="1">
        <v>18000</v>
      </c>
      <c r="E4" s="1">
        <f t="shared" si="0"/>
        <v>5000</v>
      </c>
      <c r="I4" s="1" t="s">
        <v>61</v>
      </c>
      <c r="J4" s="1">
        <v>5000</v>
      </c>
      <c r="P4" t="s">
        <v>215</v>
      </c>
      <c r="Q4" t="s">
        <v>216</v>
      </c>
    </row>
    <row r="5" spans="1:17" x14ac:dyDescent="0.25">
      <c r="A5" s="2">
        <v>43742</v>
      </c>
      <c r="B5" s="1" t="s">
        <v>3</v>
      </c>
      <c r="C5" s="1" t="s">
        <v>63</v>
      </c>
      <c r="D5" s="1">
        <v>19000</v>
      </c>
      <c r="E5" s="1">
        <f t="shared" si="0"/>
        <v>2000</v>
      </c>
      <c r="I5" s="1"/>
      <c r="J5" s="1"/>
      <c r="Q5" t="s">
        <v>217</v>
      </c>
    </row>
    <row r="6" spans="1:17" x14ac:dyDescent="0.25">
      <c r="A6" s="2">
        <v>43743</v>
      </c>
      <c r="B6" s="1" t="s">
        <v>4</v>
      </c>
      <c r="C6" s="1" t="s">
        <v>64</v>
      </c>
      <c r="D6" s="1">
        <v>25000</v>
      </c>
      <c r="E6" s="1">
        <f t="shared" si="0"/>
        <v>2500</v>
      </c>
      <c r="I6" s="1" t="s">
        <v>62</v>
      </c>
      <c r="J6" s="1">
        <v>3000</v>
      </c>
    </row>
    <row r="7" spans="1:17" x14ac:dyDescent="0.25">
      <c r="A7" s="2">
        <v>43744</v>
      </c>
      <c r="B7" s="1" t="s">
        <v>5</v>
      </c>
      <c r="C7" s="1" t="s">
        <v>61</v>
      </c>
      <c r="D7" s="1">
        <v>22000</v>
      </c>
      <c r="E7" s="1">
        <f t="shared" si="0"/>
        <v>5000</v>
      </c>
      <c r="I7" s="1"/>
      <c r="J7" s="1"/>
    </row>
    <row r="8" spans="1:17" x14ac:dyDescent="0.25">
      <c r="A8" s="2">
        <v>43745</v>
      </c>
      <c r="B8" s="1" t="s">
        <v>6</v>
      </c>
      <c r="C8" s="1" t="s">
        <v>62</v>
      </c>
      <c r="D8" s="1">
        <v>15000</v>
      </c>
      <c r="E8" s="1">
        <f t="shared" si="0"/>
        <v>3000</v>
      </c>
      <c r="I8" s="1" t="s">
        <v>64</v>
      </c>
      <c r="J8" s="1">
        <v>2500</v>
      </c>
    </row>
    <row r="9" spans="1:17" x14ac:dyDescent="0.25">
      <c r="A9" s="2">
        <v>43746</v>
      </c>
      <c r="B9" s="1" t="s">
        <v>8</v>
      </c>
      <c r="C9" s="1" t="s">
        <v>237</v>
      </c>
      <c r="D9" s="1">
        <v>35000</v>
      </c>
      <c r="E9" s="1">
        <f t="shared" si="0"/>
        <v>0</v>
      </c>
      <c r="I9" s="1"/>
      <c r="J9" s="1"/>
    </row>
    <row r="10" spans="1:17" x14ac:dyDescent="0.25">
      <c r="A10" s="2">
        <v>43747</v>
      </c>
      <c r="B10" s="1" t="s">
        <v>7</v>
      </c>
      <c r="C10" s="1" t="s">
        <v>64</v>
      </c>
      <c r="D10" s="1">
        <v>15000</v>
      </c>
      <c r="E10" s="1">
        <f t="shared" si="0"/>
        <v>2500</v>
      </c>
      <c r="I10" s="1" t="s">
        <v>63</v>
      </c>
      <c r="J10" s="1">
        <v>2000</v>
      </c>
    </row>
    <row r="11" spans="1:17" x14ac:dyDescent="0.25">
      <c r="A11" s="2">
        <v>43748</v>
      </c>
      <c r="B11" s="1" t="s">
        <v>9</v>
      </c>
      <c r="C11" s="1" t="s">
        <v>64</v>
      </c>
      <c r="D11" s="1">
        <v>35000</v>
      </c>
      <c r="E11" s="1">
        <f t="shared" si="0"/>
        <v>2500</v>
      </c>
    </row>
    <row r="12" spans="1:17" x14ac:dyDescent="0.25">
      <c r="A12" s="2">
        <v>43749</v>
      </c>
      <c r="B12" s="1" t="s">
        <v>10</v>
      </c>
      <c r="C12" s="1" t="s">
        <v>64</v>
      </c>
      <c r="D12" s="1">
        <v>18000</v>
      </c>
      <c r="E12" s="1">
        <f t="shared" si="0"/>
        <v>2500</v>
      </c>
    </row>
    <row r="13" spans="1:17" x14ac:dyDescent="0.25">
      <c r="A13" s="2">
        <v>43750</v>
      </c>
      <c r="B13" s="1" t="s">
        <v>11</v>
      </c>
      <c r="C13" s="1" t="s">
        <v>64</v>
      </c>
      <c r="D13" s="1">
        <v>21000</v>
      </c>
      <c r="E13" s="1">
        <f t="shared" si="0"/>
        <v>2500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3"/>
  <sheetViews>
    <sheetView zoomScale="175" zoomScaleNormal="175" workbookViewId="0">
      <selection activeCell="F2" sqref="F2:F13"/>
    </sheetView>
  </sheetViews>
  <sheetFormatPr defaultRowHeight="15" x14ac:dyDescent="0.25"/>
  <cols>
    <col min="1" max="1" width="10.42578125" bestFit="1" customWidth="1"/>
    <col min="2" max="2" width="14.28515625" bestFit="1" customWidth="1"/>
    <col min="3" max="3" width="14.28515625" customWidth="1"/>
    <col min="4" max="4" width="13.7109375" customWidth="1"/>
    <col min="8" max="8" width="9.7109375" bestFit="1" customWidth="1"/>
  </cols>
  <sheetData>
    <row r="1" spans="1:10" x14ac:dyDescent="0.25">
      <c r="A1" s="3" t="s">
        <v>31</v>
      </c>
      <c r="B1" s="3" t="s">
        <v>57</v>
      </c>
      <c r="C1" s="3" t="s">
        <v>60</v>
      </c>
      <c r="D1" s="3" t="s">
        <v>58</v>
      </c>
      <c r="E1" s="3" t="s">
        <v>59</v>
      </c>
      <c r="F1" s="3" t="s">
        <v>59</v>
      </c>
      <c r="G1" s="23"/>
      <c r="H1" s="23" t="s">
        <v>60</v>
      </c>
      <c r="I1" s="23" t="s">
        <v>113</v>
      </c>
      <c r="J1" s="23" t="s">
        <v>236</v>
      </c>
    </row>
    <row r="2" spans="1:10" x14ac:dyDescent="0.25">
      <c r="A2" s="2">
        <v>43739</v>
      </c>
      <c r="B2" s="1" t="s">
        <v>0</v>
      </c>
      <c r="C2" s="1" t="s">
        <v>61</v>
      </c>
      <c r="D2" s="1">
        <v>15000</v>
      </c>
      <c r="E2" s="1" t="str">
        <f>IF(AND(C2=$H$2,D2&gt;=$I$2),$J$2,$J$3)</f>
        <v>no</v>
      </c>
      <c r="F2" s="1" t="str">
        <f>IF(OR(C2=$H$2,D2&gt;=$I$2),$J$2,$J$3)</f>
        <v>yes</v>
      </c>
      <c r="H2" t="s">
        <v>61</v>
      </c>
      <c r="I2">
        <v>20000</v>
      </c>
      <c r="J2" t="s">
        <v>196</v>
      </c>
    </row>
    <row r="3" spans="1:10" x14ac:dyDescent="0.25">
      <c r="A3" s="2">
        <v>43740</v>
      </c>
      <c r="B3" s="1" t="s">
        <v>1</v>
      </c>
      <c r="C3" s="1" t="s">
        <v>62</v>
      </c>
      <c r="D3" s="1">
        <v>16000</v>
      </c>
      <c r="E3" s="1" t="str">
        <f t="shared" ref="E3:E13" si="0">IF(AND(C3=$H$2,D3&gt;=$I$2),$J$2,$J$3)</f>
        <v>no</v>
      </c>
      <c r="F3" s="1" t="str">
        <f t="shared" ref="F3:F13" si="1">IF(OR(C3=$H$2,D3&gt;=$I$2),$J$2,$J$3)</f>
        <v>no</v>
      </c>
      <c r="J3" t="s">
        <v>197</v>
      </c>
    </row>
    <row r="4" spans="1:10" x14ac:dyDescent="0.25">
      <c r="A4" s="2">
        <v>43741</v>
      </c>
      <c r="B4" s="1" t="s">
        <v>2</v>
      </c>
      <c r="C4" s="1" t="s">
        <v>61</v>
      </c>
      <c r="D4" s="1">
        <v>18000</v>
      </c>
      <c r="E4" s="1" t="str">
        <f t="shared" si="0"/>
        <v>no</v>
      </c>
      <c r="F4" s="1" t="str">
        <f t="shared" si="1"/>
        <v>yes</v>
      </c>
    </row>
    <row r="5" spans="1:10" x14ac:dyDescent="0.25">
      <c r="A5" s="2">
        <v>43742</v>
      </c>
      <c r="B5" s="1" t="s">
        <v>3</v>
      </c>
      <c r="C5" s="1" t="s">
        <v>63</v>
      </c>
      <c r="D5" s="1">
        <v>19000</v>
      </c>
      <c r="E5" s="1" t="str">
        <f t="shared" si="0"/>
        <v>no</v>
      </c>
      <c r="F5" s="1" t="str">
        <f t="shared" si="1"/>
        <v>no</v>
      </c>
      <c r="H5" t="s">
        <v>240</v>
      </c>
    </row>
    <row r="6" spans="1:10" x14ac:dyDescent="0.25">
      <c r="A6" s="2">
        <v>43743</v>
      </c>
      <c r="B6" s="1" t="s">
        <v>4</v>
      </c>
      <c r="C6" s="1" t="s">
        <v>64</v>
      </c>
      <c r="D6" s="1">
        <v>25000</v>
      </c>
      <c r="E6" s="1" t="str">
        <f t="shared" si="0"/>
        <v>no</v>
      </c>
      <c r="F6" s="1" t="str">
        <f t="shared" si="1"/>
        <v>yes</v>
      </c>
      <c r="H6" t="s">
        <v>241</v>
      </c>
    </row>
    <row r="7" spans="1:10" x14ac:dyDescent="0.25">
      <c r="A7" s="2">
        <v>43744</v>
      </c>
      <c r="B7" s="1" t="s">
        <v>5</v>
      </c>
      <c r="C7" s="1" t="s">
        <v>61</v>
      </c>
      <c r="D7" s="1">
        <v>22000</v>
      </c>
      <c r="E7" s="1" t="str">
        <f t="shared" si="0"/>
        <v>yes</v>
      </c>
      <c r="F7" s="1" t="str">
        <f t="shared" si="1"/>
        <v>yes</v>
      </c>
      <c r="H7" t="s">
        <v>242</v>
      </c>
    </row>
    <row r="8" spans="1:10" x14ac:dyDescent="0.25">
      <c r="A8" s="2">
        <v>43745</v>
      </c>
      <c r="B8" s="1" t="s">
        <v>6</v>
      </c>
      <c r="C8" s="1" t="s">
        <v>62</v>
      </c>
      <c r="D8" s="1">
        <v>15000</v>
      </c>
      <c r="E8" s="1" t="str">
        <f t="shared" si="0"/>
        <v>no</v>
      </c>
      <c r="F8" s="1" t="str">
        <f t="shared" si="1"/>
        <v>no</v>
      </c>
    </row>
    <row r="9" spans="1:10" x14ac:dyDescent="0.25">
      <c r="A9" s="2">
        <v>43746</v>
      </c>
      <c r="B9" s="1" t="s">
        <v>8</v>
      </c>
      <c r="C9" s="1" t="s">
        <v>61</v>
      </c>
      <c r="D9" s="1">
        <v>35000</v>
      </c>
      <c r="E9" s="1" t="str">
        <f t="shared" si="0"/>
        <v>yes</v>
      </c>
      <c r="F9" s="1" t="str">
        <f t="shared" si="1"/>
        <v>yes</v>
      </c>
    </row>
    <row r="10" spans="1:10" x14ac:dyDescent="0.25">
      <c r="A10" s="2">
        <v>43747</v>
      </c>
      <c r="B10" s="1" t="s">
        <v>7</v>
      </c>
      <c r="C10" s="1" t="s">
        <v>64</v>
      </c>
      <c r="D10" s="1">
        <v>15000</v>
      </c>
      <c r="E10" s="1" t="str">
        <f t="shared" si="0"/>
        <v>no</v>
      </c>
      <c r="F10" s="1" t="str">
        <f t="shared" si="1"/>
        <v>no</v>
      </c>
    </row>
    <row r="11" spans="1:10" x14ac:dyDescent="0.25">
      <c r="A11" s="2">
        <v>43748</v>
      </c>
      <c r="B11" s="1" t="s">
        <v>9</v>
      </c>
      <c r="C11" s="1" t="s">
        <v>64</v>
      </c>
      <c r="D11" s="1">
        <v>35000</v>
      </c>
      <c r="E11" s="1" t="str">
        <f t="shared" si="0"/>
        <v>no</v>
      </c>
      <c r="F11" s="1" t="str">
        <f t="shared" si="1"/>
        <v>yes</v>
      </c>
    </row>
    <row r="12" spans="1:10" x14ac:dyDescent="0.25">
      <c r="A12" s="2">
        <v>43749</v>
      </c>
      <c r="B12" s="1" t="s">
        <v>10</v>
      </c>
      <c r="C12" s="1" t="s">
        <v>64</v>
      </c>
      <c r="D12" s="1">
        <v>18000</v>
      </c>
      <c r="E12" s="1" t="str">
        <f t="shared" si="0"/>
        <v>no</v>
      </c>
      <c r="F12" s="1" t="str">
        <f t="shared" si="1"/>
        <v>no</v>
      </c>
    </row>
    <row r="13" spans="1:10" x14ac:dyDescent="0.25">
      <c r="A13" s="2">
        <v>43750</v>
      </c>
      <c r="B13" s="1" t="s">
        <v>11</v>
      </c>
      <c r="C13" s="1" t="s">
        <v>64</v>
      </c>
      <c r="D13" s="1">
        <v>21000</v>
      </c>
      <c r="E13" s="1" t="str">
        <f t="shared" si="0"/>
        <v>no</v>
      </c>
      <c r="F13" s="1" t="str">
        <f t="shared" si="1"/>
        <v>yes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5"/>
  <sheetViews>
    <sheetView topLeftCell="B2" zoomScale="160" zoomScaleNormal="160" workbookViewId="0">
      <selection activeCell="V8" sqref="V8"/>
    </sheetView>
  </sheetViews>
  <sheetFormatPr defaultRowHeight="15" x14ac:dyDescent="0.25"/>
  <cols>
    <col min="1" max="1" width="10.42578125" bestFit="1" customWidth="1"/>
    <col min="2" max="2" width="14" bestFit="1" customWidth="1"/>
    <col min="3" max="21" width="2.7109375" customWidth="1"/>
    <col min="23" max="23" width="9.28515625" customWidth="1"/>
  </cols>
  <sheetData>
    <row r="1" spans="1:24" ht="15.75" thickBot="1" x14ac:dyDescent="0.3"/>
    <row r="2" spans="1:24" ht="15.75" thickBot="1" x14ac:dyDescent="0.3">
      <c r="A2">
        <f>COUNT(C3:T15)</f>
        <v>0</v>
      </c>
      <c r="C2" s="58" t="s">
        <v>40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60"/>
    </row>
    <row r="3" spans="1:24" x14ac:dyDescent="0.25">
      <c r="A3">
        <f>COUNTA(C3:U15,)</f>
        <v>137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45</v>
      </c>
      <c r="P3" s="5" t="s">
        <v>45</v>
      </c>
      <c r="Q3" s="5" t="s">
        <v>45</v>
      </c>
      <c r="R3" s="5" t="s">
        <v>45</v>
      </c>
      <c r="S3" s="5" t="s">
        <v>45</v>
      </c>
      <c r="T3" s="5" t="s">
        <v>45</v>
      </c>
      <c r="U3" s="5" t="s">
        <v>45</v>
      </c>
      <c r="W3" t="s">
        <v>41</v>
      </c>
      <c r="X3">
        <f>COUNTA(C3:U15)</f>
        <v>136</v>
      </c>
    </row>
    <row r="4" spans="1:24" x14ac:dyDescent="0.25">
      <c r="C4" s="1" t="s">
        <v>46</v>
      </c>
      <c r="D4" s="1" t="s">
        <v>46</v>
      </c>
      <c r="E4" s="1" t="s">
        <v>46</v>
      </c>
      <c r="F4" s="1" t="s">
        <v>46</v>
      </c>
      <c r="G4" s="1"/>
      <c r="H4" s="1"/>
      <c r="I4" s="1"/>
      <c r="J4" s="1"/>
      <c r="K4" s="1" t="s">
        <v>46</v>
      </c>
      <c r="L4" s="1" t="s">
        <v>46</v>
      </c>
      <c r="M4" s="1" t="s">
        <v>46</v>
      </c>
      <c r="N4" s="1"/>
      <c r="O4" s="1"/>
      <c r="P4" s="1"/>
      <c r="Q4" s="1"/>
      <c r="R4" s="1"/>
      <c r="S4" s="1" t="s">
        <v>46</v>
      </c>
      <c r="T4" s="1" t="s">
        <v>46</v>
      </c>
      <c r="U4" s="1" t="s">
        <v>46</v>
      </c>
      <c r="W4" t="s">
        <v>42</v>
      </c>
      <c r="X4">
        <f>COUNTBLANK(C3:U15)</f>
        <v>111</v>
      </c>
    </row>
    <row r="5" spans="1:24" x14ac:dyDescent="0.25">
      <c r="C5" s="1" t="s">
        <v>45</v>
      </c>
      <c r="D5" s="1" t="s">
        <v>45</v>
      </c>
      <c r="E5" s="1" t="s">
        <v>45</v>
      </c>
      <c r="F5" s="1" t="s">
        <v>45</v>
      </c>
      <c r="G5" s="1"/>
      <c r="H5" s="1"/>
      <c r="I5" s="1"/>
      <c r="J5" s="1"/>
      <c r="K5" s="1" t="s">
        <v>45</v>
      </c>
      <c r="L5" s="1" t="s">
        <v>45</v>
      </c>
      <c r="M5" s="1" t="s">
        <v>45</v>
      </c>
      <c r="N5" s="1"/>
      <c r="O5" s="1" t="s">
        <v>46</v>
      </c>
      <c r="P5" s="1"/>
      <c r="Q5" s="1"/>
      <c r="R5" s="1"/>
      <c r="S5" s="1" t="s">
        <v>45</v>
      </c>
      <c r="T5" s="1" t="s">
        <v>45</v>
      </c>
      <c r="U5" s="1" t="s">
        <v>45</v>
      </c>
    </row>
    <row r="6" spans="1:24" x14ac:dyDescent="0.25">
      <c r="C6" s="1" t="s">
        <v>46</v>
      </c>
      <c r="D6" s="1" t="s">
        <v>46</v>
      </c>
      <c r="E6" s="1" t="s">
        <v>46</v>
      </c>
      <c r="F6" s="1" t="s">
        <v>46</v>
      </c>
      <c r="G6" s="1"/>
      <c r="H6" s="1"/>
      <c r="I6" s="1"/>
      <c r="J6" s="1"/>
      <c r="K6" s="1" t="s">
        <v>46</v>
      </c>
      <c r="L6" s="1" t="s">
        <v>46</v>
      </c>
      <c r="M6" s="1" t="s">
        <v>46</v>
      </c>
      <c r="N6" s="1"/>
      <c r="O6" s="1" t="s">
        <v>45</v>
      </c>
      <c r="P6" s="1"/>
      <c r="Q6" s="1" t="s">
        <v>46</v>
      </c>
      <c r="R6" s="1"/>
      <c r="S6" s="1"/>
      <c r="T6" s="1" t="s">
        <v>46</v>
      </c>
      <c r="U6" s="1" t="s">
        <v>46</v>
      </c>
      <c r="V6" s="21" t="s">
        <v>46</v>
      </c>
      <c r="W6" t="s">
        <v>43</v>
      </c>
      <c r="X6">
        <f>COUNTIF(C3:U15,V6)</f>
        <v>55</v>
      </c>
    </row>
    <row r="7" spans="1:24" x14ac:dyDescent="0.25">
      <c r="C7" s="1" t="s">
        <v>45</v>
      </c>
      <c r="D7" s="1" t="s">
        <v>45</v>
      </c>
      <c r="E7" s="1" t="s">
        <v>45</v>
      </c>
      <c r="F7" s="1" t="s">
        <v>45</v>
      </c>
      <c r="G7" s="1"/>
      <c r="H7" s="1"/>
      <c r="I7" s="1"/>
      <c r="J7" s="1"/>
      <c r="K7" s="1" t="s">
        <v>45</v>
      </c>
      <c r="L7" s="1"/>
      <c r="M7" s="1"/>
      <c r="N7" s="1"/>
      <c r="O7" s="1"/>
      <c r="P7" s="1"/>
      <c r="Q7" s="1" t="s">
        <v>45</v>
      </c>
      <c r="R7" s="1"/>
      <c r="S7" s="1"/>
      <c r="T7" s="1" t="s">
        <v>45</v>
      </c>
      <c r="U7" s="1" t="s">
        <v>45</v>
      </c>
      <c r="V7" s="21" t="s">
        <v>45</v>
      </c>
      <c r="W7" t="s">
        <v>44</v>
      </c>
      <c r="X7">
        <f>COUNTIF(C3:U15,V7)</f>
        <v>81</v>
      </c>
    </row>
    <row r="8" spans="1:24" x14ac:dyDescent="0.25">
      <c r="C8" s="1" t="s">
        <v>45</v>
      </c>
      <c r="D8" s="1" t="s">
        <v>45</v>
      </c>
      <c r="E8" s="1" t="s">
        <v>45</v>
      </c>
      <c r="F8" s="1" t="s">
        <v>45</v>
      </c>
      <c r="G8" s="1" t="s">
        <v>45</v>
      </c>
      <c r="H8" s="1" t="s">
        <v>45</v>
      </c>
      <c r="I8" s="1" t="s">
        <v>45</v>
      </c>
      <c r="J8" s="1" t="s">
        <v>45</v>
      </c>
      <c r="K8" s="1" t="s">
        <v>45</v>
      </c>
      <c r="L8" s="1"/>
      <c r="M8" s="1"/>
      <c r="N8" s="1"/>
      <c r="O8" s="1"/>
      <c r="P8" s="1" t="s">
        <v>45</v>
      </c>
      <c r="Q8" s="1" t="s">
        <v>45</v>
      </c>
      <c r="R8" s="1"/>
      <c r="S8" s="1"/>
      <c r="T8" s="1" t="s">
        <v>45</v>
      </c>
      <c r="U8" s="1" t="s">
        <v>45</v>
      </c>
    </row>
    <row r="9" spans="1:24" x14ac:dyDescent="0.25">
      <c r="C9" s="1" t="s">
        <v>45</v>
      </c>
      <c r="D9" s="1" t="s">
        <v>45</v>
      </c>
      <c r="E9" s="1" t="s">
        <v>45</v>
      </c>
      <c r="F9" s="1" t="s">
        <v>45</v>
      </c>
      <c r="G9" s="1" t="s">
        <v>45</v>
      </c>
      <c r="H9" s="1" t="s">
        <v>45</v>
      </c>
      <c r="I9" s="1" t="s">
        <v>45</v>
      </c>
      <c r="J9" s="1" t="s">
        <v>45</v>
      </c>
      <c r="K9" s="1" t="s">
        <v>45</v>
      </c>
      <c r="L9" s="1"/>
      <c r="M9" s="1"/>
      <c r="N9" s="1"/>
      <c r="O9" s="1"/>
      <c r="P9" s="1" t="s">
        <v>45</v>
      </c>
      <c r="Q9" s="1" t="s">
        <v>45</v>
      </c>
      <c r="R9" s="1"/>
      <c r="S9" s="1"/>
      <c r="T9" s="1" t="s">
        <v>45</v>
      </c>
      <c r="U9" s="1" t="s">
        <v>45</v>
      </c>
    </row>
    <row r="10" spans="1:24" x14ac:dyDescent="0.25">
      <c r="C10" s="1" t="s">
        <v>45</v>
      </c>
      <c r="D10" s="1" t="s">
        <v>45</v>
      </c>
      <c r="E10" s="1" t="s">
        <v>45</v>
      </c>
      <c r="F10" s="1" t="s">
        <v>45</v>
      </c>
      <c r="G10" s="1" t="s">
        <v>45</v>
      </c>
      <c r="H10" s="1" t="s">
        <v>45</v>
      </c>
      <c r="I10" s="1" t="s">
        <v>45</v>
      </c>
      <c r="J10" s="1" t="s">
        <v>45</v>
      </c>
      <c r="K10" s="1" t="s">
        <v>45</v>
      </c>
      <c r="L10" s="1" t="s">
        <v>45</v>
      </c>
      <c r="M10" s="1" t="s">
        <v>45</v>
      </c>
      <c r="N10" s="1" t="s">
        <v>45</v>
      </c>
      <c r="O10" s="1" t="s">
        <v>45</v>
      </c>
      <c r="P10" s="1" t="s">
        <v>45</v>
      </c>
      <c r="Q10" s="1" t="s">
        <v>45</v>
      </c>
      <c r="R10" s="1"/>
      <c r="S10" s="1"/>
      <c r="T10" s="1" t="s">
        <v>45</v>
      </c>
      <c r="U10" s="1" t="s">
        <v>45</v>
      </c>
    </row>
    <row r="11" spans="1:24" x14ac:dyDescent="0.25">
      <c r="C11" s="1" t="s">
        <v>46</v>
      </c>
      <c r="D11" s="1" t="s">
        <v>46</v>
      </c>
      <c r="E11" s="1"/>
      <c r="F11" s="1"/>
      <c r="G11" s="1"/>
      <c r="H11" s="1"/>
      <c r="I11" s="1"/>
      <c r="J11" s="1"/>
      <c r="K11" s="1"/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/>
      <c r="S11" s="1"/>
      <c r="T11" s="1" t="s">
        <v>46</v>
      </c>
      <c r="U11" s="1" t="s">
        <v>46</v>
      </c>
    </row>
    <row r="12" spans="1:24" x14ac:dyDescent="0.25">
      <c r="C12" s="1" t="s">
        <v>46</v>
      </c>
      <c r="D12" s="1" t="s">
        <v>46</v>
      </c>
      <c r="E12" s="1"/>
      <c r="F12" s="1"/>
      <c r="G12" s="1"/>
      <c r="H12" s="1"/>
      <c r="I12" s="1"/>
      <c r="J12" s="1"/>
      <c r="K12" s="1"/>
      <c r="L12" s="1" t="s">
        <v>46</v>
      </c>
      <c r="M12" s="1" t="s">
        <v>46</v>
      </c>
      <c r="N12" s="1"/>
      <c r="O12" s="1"/>
      <c r="P12" s="1"/>
      <c r="Q12" s="1"/>
      <c r="R12" s="1"/>
      <c r="S12" s="1"/>
      <c r="T12" s="1" t="s">
        <v>46</v>
      </c>
      <c r="U12" s="1" t="s">
        <v>46</v>
      </c>
    </row>
    <row r="13" spans="1:24" x14ac:dyDescent="0.25">
      <c r="C13" s="1" t="s">
        <v>46</v>
      </c>
      <c r="D13" s="1" t="s">
        <v>46</v>
      </c>
      <c r="E13" s="1"/>
      <c r="F13" s="1"/>
      <c r="G13" s="1"/>
      <c r="H13" s="1"/>
      <c r="I13" s="1"/>
      <c r="J13" s="1"/>
      <c r="K13" s="1"/>
      <c r="L13" s="1" t="s">
        <v>46</v>
      </c>
      <c r="M13" s="1" t="s">
        <v>46</v>
      </c>
      <c r="N13" s="1"/>
      <c r="O13" s="1"/>
      <c r="P13" s="1"/>
      <c r="Q13" s="1"/>
      <c r="R13" s="1"/>
      <c r="S13" s="1"/>
      <c r="T13" s="1" t="s">
        <v>46</v>
      </c>
      <c r="U13" s="1" t="s">
        <v>46</v>
      </c>
    </row>
    <row r="14" spans="1:24" x14ac:dyDescent="0.25">
      <c r="C14" s="1" t="s">
        <v>46</v>
      </c>
      <c r="D14" s="1" t="s">
        <v>46</v>
      </c>
      <c r="E14" s="1"/>
      <c r="F14" s="1"/>
      <c r="G14" s="1"/>
      <c r="H14" s="1"/>
      <c r="I14" s="1"/>
      <c r="J14" s="1"/>
      <c r="K14" s="1"/>
      <c r="L14" s="1" t="s">
        <v>46</v>
      </c>
      <c r="M14" s="1" t="s">
        <v>46</v>
      </c>
      <c r="N14" s="1"/>
      <c r="O14" s="1"/>
      <c r="P14" s="1"/>
      <c r="Q14" s="1"/>
      <c r="R14" s="1"/>
      <c r="S14" s="1"/>
      <c r="T14" s="1" t="s">
        <v>46</v>
      </c>
      <c r="U14" s="1" t="s">
        <v>46</v>
      </c>
    </row>
    <row r="15" spans="1:24" x14ac:dyDescent="0.25">
      <c r="C15" s="1" t="s">
        <v>46</v>
      </c>
      <c r="D15" s="1" t="s">
        <v>46</v>
      </c>
      <c r="E15" s="1"/>
      <c r="F15" s="1"/>
      <c r="G15" s="1"/>
      <c r="H15" s="1"/>
      <c r="I15" s="1"/>
      <c r="J15" s="1"/>
      <c r="K15" s="1"/>
      <c r="L15" s="1" t="s">
        <v>46</v>
      </c>
      <c r="M15" s="1" t="s">
        <v>46</v>
      </c>
      <c r="N15" s="1"/>
      <c r="O15" s="1"/>
      <c r="P15" s="1"/>
      <c r="Q15" s="1"/>
      <c r="R15" s="1"/>
      <c r="S15" s="1"/>
      <c r="T15" s="1" t="s">
        <v>46</v>
      </c>
      <c r="U15" s="1" t="s">
        <v>46</v>
      </c>
    </row>
  </sheetData>
  <mergeCells count="1">
    <mergeCell ref="C2:U2"/>
  </mergeCells>
  <conditionalFormatting sqref="C3:U15 V6:V7">
    <cfRule type="cellIs" dxfId="1" priority="1" operator="equal">
      <formula>"M"</formula>
    </cfRule>
    <cfRule type="cellIs" dxfId="0" priority="2" operator="equal">
      <formula>"F"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9"/>
  <sheetViews>
    <sheetView zoomScale="175" zoomScaleNormal="175" workbookViewId="0">
      <selection activeCell="F12" sqref="F12"/>
    </sheetView>
  </sheetViews>
  <sheetFormatPr defaultRowHeight="15" x14ac:dyDescent="0.25"/>
  <cols>
    <col min="1" max="1" width="13.85546875" bestFit="1" customWidth="1"/>
    <col min="2" max="2" width="17" bestFit="1" customWidth="1"/>
    <col min="3" max="3" width="11.42578125" bestFit="1" customWidth="1"/>
    <col min="5" max="5" width="17" bestFit="1" customWidth="1"/>
  </cols>
  <sheetData>
    <row r="1" spans="1:7" x14ac:dyDescent="0.25">
      <c r="A1" s="44" t="s">
        <v>13</v>
      </c>
      <c r="B1" s="45" t="s">
        <v>14</v>
      </c>
      <c r="C1" s="46" t="s">
        <v>15</v>
      </c>
      <c r="E1" s="1" t="s">
        <v>17</v>
      </c>
      <c r="F1">
        <f>SUMIF($B$2:$B$16,E1,$C$2:$C$16)</f>
        <v>245658</v>
      </c>
    </row>
    <row r="2" spans="1:7" x14ac:dyDescent="0.25">
      <c r="A2" s="15" t="s">
        <v>20</v>
      </c>
      <c r="B2" s="1" t="s">
        <v>21</v>
      </c>
      <c r="C2" s="27">
        <v>34133</v>
      </c>
      <c r="E2" s="1" t="s">
        <v>19</v>
      </c>
      <c r="F2">
        <f>SUMIF($B$2:$B$16,E2,$C$2:$C$16)</f>
        <v>88647</v>
      </c>
    </row>
    <row r="3" spans="1:7" x14ac:dyDescent="0.25">
      <c r="A3" s="15" t="s">
        <v>25</v>
      </c>
      <c r="B3" s="1" t="s">
        <v>21</v>
      </c>
      <c r="C3" s="27">
        <v>30861</v>
      </c>
      <c r="E3" s="1" t="s">
        <v>21</v>
      </c>
      <c r="F3">
        <f>SUMIF($B$2:$B$16,E3,$C$2:$C$16)</f>
        <v>160145</v>
      </c>
    </row>
    <row r="4" spans="1:7" x14ac:dyDescent="0.25">
      <c r="A4" s="15" t="s">
        <v>24</v>
      </c>
      <c r="B4" s="1" t="s">
        <v>19</v>
      </c>
      <c r="C4" s="27">
        <v>26895</v>
      </c>
    </row>
    <row r="5" spans="1:7" x14ac:dyDescent="0.25">
      <c r="A5" s="15" t="s">
        <v>22</v>
      </c>
      <c r="B5" s="1" t="s">
        <v>17</v>
      </c>
      <c r="C5" s="27">
        <v>29264</v>
      </c>
    </row>
    <row r="6" spans="1:7" x14ac:dyDescent="0.25">
      <c r="A6" s="15" t="s">
        <v>27</v>
      </c>
      <c r="B6" s="1" t="s">
        <v>17</v>
      </c>
      <c r="C6" s="27">
        <v>36505</v>
      </c>
    </row>
    <row r="7" spans="1:7" x14ac:dyDescent="0.25">
      <c r="A7" s="15" t="s">
        <v>18</v>
      </c>
      <c r="B7" s="1" t="s">
        <v>19</v>
      </c>
      <c r="C7" s="27">
        <v>30041</v>
      </c>
      <c r="G7" s="26"/>
    </row>
    <row r="8" spans="1:7" x14ac:dyDescent="0.25">
      <c r="A8" s="15" t="s">
        <v>16</v>
      </c>
      <c r="B8" s="1" t="s">
        <v>17</v>
      </c>
      <c r="C8" s="27">
        <v>34141</v>
      </c>
    </row>
    <row r="9" spans="1:7" x14ac:dyDescent="0.25">
      <c r="A9" s="15" t="s">
        <v>23</v>
      </c>
      <c r="B9" s="1" t="s">
        <v>17</v>
      </c>
      <c r="C9" s="27">
        <v>32914</v>
      </c>
    </row>
    <row r="10" spans="1:7" x14ac:dyDescent="0.25">
      <c r="A10" s="15" t="s">
        <v>26</v>
      </c>
      <c r="B10" s="1" t="s">
        <v>17</v>
      </c>
      <c r="C10" s="27">
        <v>37908</v>
      </c>
    </row>
    <row r="11" spans="1:7" x14ac:dyDescent="0.25">
      <c r="A11" s="15" t="s">
        <v>29</v>
      </c>
      <c r="B11" s="1" t="s">
        <v>21</v>
      </c>
      <c r="C11" s="27">
        <v>28875</v>
      </c>
    </row>
    <row r="12" spans="1:7" x14ac:dyDescent="0.25">
      <c r="A12" s="15" t="s">
        <v>30</v>
      </c>
      <c r="B12" s="1" t="s">
        <v>17</v>
      </c>
      <c r="C12" s="27">
        <v>36135</v>
      </c>
    </row>
    <row r="13" spans="1:7" x14ac:dyDescent="0.25">
      <c r="A13" s="15" t="s">
        <v>28</v>
      </c>
      <c r="B13" s="1" t="s">
        <v>19</v>
      </c>
      <c r="C13" s="27">
        <v>31711</v>
      </c>
    </row>
    <row r="14" spans="1:7" x14ac:dyDescent="0.25">
      <c r="A14" s="43" t="s">
        <v>198</v>
      </c>
      <c r="B14" s="21" t="s">
        <v>17</v>
      </c>
      <c r="C14" s="27">
        <v>38791</v>
      </c>
    </row>
    <row r="15" spans="1:7" x14ac:dyDescent="0.25">
      <c r="A15" s="43" t="s">
        <v>199</v>
      </c>
      <c r="B15" s="21" t="s">
        <v>21</v>
      </c>
      <c r="C15" s="27">
        <v>38598</v>
      </c>
    </row>
    <row r="16" spans="1:7" x14ac:dyDescent="0.25">
      <c r="A16" s="47" t="s">
        <v>200</v>
      </c>
      <c r="B16" s="48" t="s">
        <v>21</v>
      </c>
      <c r="C16" s="27">
        <v>27678</v>
      </c>
    </row>
    <row r="18" spans="3:7" x14ac:dyDescent="0.25">
      <c r="C18" s="28"/>
      <c r="D18" s="31"/>
      <c r="G18" s="30"/>
    </row>
    <row r="19" spans="3:7" x14ac:dyDescent="0.25">
      <c r="C19" s="28"/>
      <c r="D19" s="31"/>
      <c r="G19" s="30"/>
    </row>
    <row r="20" spans="3:7" x14ac:dyDescent="0.25">
      <c r="C20" s="28"/>
      <c r="D20" s="31"/>
      <c r="E20" s="29"/>
      <c r="G20" s="30"/>
    </row>
    <row r="21" spans="3:7" x14ac:dyDescent="0.25">
      <c r="C21" s="28"/>
      <c r="D21" s="31"/>
      <c r="E21" s="29"/>
      <c r="G21" s="30"/>
    </row>
    <row r="22" spans="3:7" x14ac:dyDescent="0.25">
      <c r="C22" s="28"/>
      <c r="D22" s="31"/>
      <c r="E22" s="29"/>
      <c r="G22" s="30"/>
    </row>
    <row r="23" spans="3:7" x14ac:dyDescent="0.25">
      <c r="C23" s="28"/>
      <c r="D23" s="31"/>
      <c r="E23" s="29"/>
      <c r="G23" s="30"/>
    </row>
    <row r="24" spans="3:7" x14ac:dyDescent="0.25">
      <c r="C24" s="28"/>
      <c r="D24" s="32"/>
      <c r="E24" s="29"/>
      <c r="G24" s="30"/>
    </row>
    <row r="25" spans="3:7" x14ac:dyDescent="0.25">
      <c r="C25" s="28"/>
      <c r="D25" s="32"/>
      <c r="E25" s="29"/>
      <c r="G25" s="30"/>
    </row>
    <row r="26" spans="3:7" x14ac:dyDescent="0.25">
      <c r="C26" s="28"/>
      <c r="D26" s="32"/>
      <c r="E26" s="29"/>
      <c r="G26" s="30"/>
    </row>
    <row r="27" spans="3:7" x14ac:dyDescent="0.25">
      <c r="D27" s="32"/>
      <c r="E27" s="29"/>
      <c r="G27" s="30"/>
    </row>
    <row r="28" spans="3:7" x14ac:dyDescent="0.25">
      <c r="D28" s="32"/>
    </row>
    <row r="29" spans="3:7" x14ac:dyDescent="0.25">
      <c r="D29" s="32"/>
    </row>
  </sheetData>
  <sortState xmlns:xlrd2="http://schemas.microsoft.com/office/spreadsheetml/2017/richdata2" ref="A2:C13">
    <sortCondition ref="B2"/>
  </sortState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9"/>
  <sheetViews>
    <sheetView zoomScale="175" zoomScaleNormal="175" workbookViewId="0">
      <selection activeCell="G14" sqref="G14:G15"/>
    </sheetView>
  </sheetViews>
  <sheetFormatPr defaultRowHeight="15" x14ac:dyDescent="0.25"/>
  <cols>
    <col min="1" max="1" width="14.140625" bestFit="1" customWidth="1"/>
    <col min="2" max="2" width="14" bestFit="1" customWidth="1"/>
    <col min="3" max="3" width="11.5703125" customWidth="1"/>
    <col min="6" max="6" width="10.28515625" bestFit="1" customWidth="1"/>
  </cols>
  <sheetData>
    <row r="1" spans="1:8" x14ac:dyDescent="0.25">
      <c r="A1" s="3" t="s">
        <v>31</v>
      </c>
      <c r="B1" s="3" t="s">
        <v>32</v>
      </c>
      <c r="C1" s="3" t="s">
        <v>33</v>
      </c>
      <c r="D1" s="3" t="s">
        <v>12</v>
      </c>
      <c r="F1" s="4" t="s">
        <v>39</v>
      </c>
      <c r="G1" s="3" t="s">
        <v>37</v>
      </c>
      <c r="H1" s="3" t="s">
        <v>38</v>
      </c>
    </row>
    <row r="2" spans="1:8" x14ac:dyDescent="0.25">
      <c r="A2" s="2">
        <v>43740</v>
      </c>
      <c r="B2" s="1" t="s">
        <v>35</v>
      </c>
      <c r="C2" s="1" t="s">
        <v>38</v>
      </c>
      <c r="D2" s="1">
        <v>6000</v>
      </c>
      <c r="F2" s="1" t="s">
        <v>34</v>
      </c>
      <c r="G2" s="1">
        <f>SUMIFS($D$2:$D$13,$B$2:$B$13,F2,$C$2:$C$13,$G$1)</f>
        <v>4500</v>
      </c>
      <c r="H2" s="1">
        <f>SUMIFS($D$2:$D$13,$B$2:$B$13,F2,$C$2:$C$13,$H$1)</f>
        <v>5150</v>
      </c>
    </row>
    <row r="3" spans="1:8" x14ac:dyDescent="0.25">
      <c r="A3" s="2">
        <v>43745</v>
      </c>
      <c r="B3" s="1" t="s">
        <v>35</v>
      </c>
      <c r="C3" s="1" t="s">
        <v>38</v>
      </c>
      <c r="D3" s="1">
        <v>4500</v>
      </c>
      <c r="F3" s="1" t="s">
        <v>35</v>
      </c>
      <c r="G3" s="1">
        <f>SUMIFS($D$2:$D$13,$B$2:$B$13,F3,$C$2:$C$13,$G$1)</f>
        <v>11500</v>
      </c>
      <c r="H3" s="1">
        <f t="shared" ref="H3:H4" si="0">SUMIFS($D$2:$D$13,$B$2:$B$13,F3,$C$2:$C$13,$H$1)</f>
        <v>11100</v>
      </c>
    </row>
    <row r="4" spans="1:8" x14ac:dyDescent="0.25">
      <c r="A4" s="2">
        <v>43746</v>
      </c>
      <c r="B4" s="1" t="s">
        <v>35</v>
      </c>
      <c r="C4" s="1" t="s">
        <v>38</v>
      </c>
      <c r="D4" s="1">
        <v>600</v>
      </c>
      <c r="F4" s="1" t="s">
        <v>108</v>
      </c>
      <c r="G4" s="1">
        <f t="shared" ref="G4" si="1">SUMIFS($D$2:$D$13,$B$2:$B$13,F4,$C$2:$C$13,$G$1)</f>
        <v>8950</v>
      </c>
      <c r="H4" s="1">
        <f t="shared" si="0"/>
        <v>2560</v>
      </c>
    </row>
    <row r="5" spans="1:8" x14ac:dyDescent="0.25">
      <c r="A5" s="2">
        <v>43742</v>
      </c>
      <c r="B5" s="1" t="s">
        <v>35</v>
      </c>
      <c r="C5" s="1" t="s">
        <v>37</v>
      </c>
      <c r="D5" s="1">
        <v>6500</v>
      </c>
    </row>
    <row r="6" spans="1:8" x14ac:dyDescent="0.25">
      <c r="A6" s="2">
        <v>43750</v>
      </c>
      <c r="B6" s="1" t="s">
        <v>36</v>
      </c>
      <c r="C6" s="1" t="s">
        <v>38</v>
      </c>
      <c r="D6" s="1">
        <v>2560</v>
      </c>
    </row>
    <row r="7" spans="1:8" x14ac:dyDescent="0.25">
      <c r="A7" s="2">
        <v>43744</v>
      </c>
      <c r="B7" s="1" t="s">
        <v>36</v>
      </c>
      <c r="C7" s="1" t="s">
        <v>37</v>
      </c>
      <c r="D7" s="1">
        <v>6000</v>
      </c>
      <c r="F7" s="3" t="s">
        <v>32</v>
      </c>
      <c r="G7" s="3" t="s">
        <v>12</v>
      </c>
    </row>
    <row r="8" spans="1:8" x14ac:dyDescent="0.25">
      <c r="A8" s="2">
        <v>43747</v>
      </c>
      <c r="B8" s="1" t="s">
        <v>36</v>
      </c>
      <c r="C8" s="1" t="s">
        <v>37</v>
      </c>
      <c r="D8" s="1">
        <v>1500</v>
      </c>
      <c r="F8" s="1" t="s">
        <v>34</v>
      </c>
      <c r="G8" s="1">
        <f>SUMIF($B$2:$B$13,F8,$D$2:$D$13)</f>
        <v>9650</v>
      </c>
    </row>
    <row r="9" spans="1:8" x14ac:dyDescent="0.25">
      <c r="A9" s="2">
        <v>43748</v>
      </c>
      <c r="B9" s="1" t="s">
        <v>36</v>
      </c>
      <c r="C9" s="1" t="s">
        <v>37</v>
      </c>
      <c r="D9" s="1">
        <v>1450</v>
      </c>
      <c r="F9" s="1" t="s">
        <v>35</v>
      </c>
      <c r="G9" s="1">
        <f t="shared" ref="G9:G10" si="2">SUMIF($B$2:$B$13,F9,$D$2:$D$13)</f>
        <v>22600</v>
      </c>
    </row>
    <row r="10" spans="1:8" x14ac:dyDescent="0.25">
      <c r="A10" s="2">
        <v>43743</v>
      </c>
      <c r="B10" s="1" t="s">
        <v>34</v>
      </c>
      <c r="C10" s="1" t="s">
        <v>38</v>
      </c>
      <c r="D10" s="1">
        <v>4500</v>
      </c>
      <c r="F10" s="1" t="s">
        <v>108</v>
      </c>
      <c r="G10" s="1">
        <f t="shared" si="2"/>
        <v>11510</v>
      </c>
    </row>
    <row r="11" spans="1:8" x14ac:dyDescent="0.25">
      <c r="A11" s="2">
        <v>43749</v>
      </c>
      <c r="B11" s="1" t="s">
        <v>34</v>
      </c>
      <c r="C11" s="1" t="s">
        <v>38</v>
      </c>
      <c r="D11" s="1">
        <v>650</v>
      </c>
    </row>
    <row r="12" spans="1:8" x14ac:dyDescent="0.25">
      <c r="A12" s="2">
        <v>43739</v>
      </c>
      <c r="B12" s="1" t="s">
        <v>201</v>
      </c>
      <c r="C12" s="1" t="s">
        <v>37</v>
      </c>
      <c r="D12" s="1">
        <v>5000</v>
      </c>
    </row>
    <row r="13" spans="1:8" x14ac:dyDescent="0.25">
      <c r="A13" s="2">
        <v>43741</v>
      </c>
      <c r="B13" s="1" t="s">
        <v>34</v>
      </c>
      <c r="C13" s="1" t="s">
        <v>37</v>
      </c>
      <c r="D13" s="1">
        <v>4500</v>
      </c>
      <c r="F13" s="3" t="s">
        <v>33</v>
      </c>
      <c r="G13" s="3" t="s">
        <v>12</v>
      </c>
    </row>
    <row r="14" spans="1:8" x14ac:dyDescent="0.25">
      <c r="F14" s="1" t="s">
        <v>37</v>
      </c>
      <c r="G14" s="1">
        <f>SUMIF($C$2:$C$13,F14,$D$2:$D$13)</f>
        <v>24950</v>
      </c>
    </row>
    <row r="15" spans="1:8" x14ac:dyDescent="0.25">
      <c r="F15" s="1" t="s">
        <v>38</v>
      </c>
      <c r="G15" s="1">
        <f>SUMIF($C$2:$C$13,F15,$D$2:$D$13)</f>
        <v>18810</v>
      </c>
    </row>
    <row r="17" spans="6:7" x14ac:dyDescent="0.25">
      <c r="G17" s="24"/>
    </row>
    <row r="18" spans="6:7" x14ac:dyDescent="0.25">
      <c r="F18" s="24"/>
    </row>
    <row r="39" spans="3:6" x14ac:dyDescent="0.25">
      <c r="C39" s="25"/>
      <c r="D39" s="25"/>
      <c r="E39" s="25"/>
      <c r="F39" s="25"/>
    </row>
  </sheetData>
  <sortState xmlns:xlrd2="http://schemas.microsoft.com/office/spreadsheetml/2017/richdata2" ref="A2:D13">
    <sortCondition ref="B2:B13"/>
    <sortCondition ref="C2:C13"/>
    <sortCondition descending="1" ref="D2:D13"/>
  </sortState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0"/>
  <sheetViews>
    <sheetView zoomScale="160" zoomScaleNormal="160" workbookViewId="0">
      <selection activeCell="H13" sqref="H13"/>
    </sheetView>
  </sheetViews>
  <sheetFormatPr defaultRowHeight="15" x14ac:dyDescent="0.25"/>
  <cols>
    <col min="1" max="1" width="10.42578125" bestFit="1" customWidth="1"/>
    <col min="2" max="2" width="17.28515625" bestFit="1" customWidth="1"/>
    <col min="3" max="3" width="11" bestFit="1" customWidth="1"/>
    <col min="4" max="4" width="10.5703125" bestFit="1" customWidth="1"/>
    <col min="5" max="5" width="7.42578125" bestFit="1" customWidth="1"/>
    <col min="6" max="6" width="11" bestFit="1" customWidth="1"/>
    <col min="7" max="7" width="10.28515625" bestFit="1" customWidth="1"/>
  </cols>
  <sheetData>
    <row r="1" spans="1:8" x14ac:dyDescent="0.25">
      <c r="A1" s="1" t="s">
        <v>31</v>
      </c>
      <c r="B1" s="1" t="s">
        <v>32</v>
      </c>
      <c r="C1" s="1" t="s">
        <v>33</v>
      </c>
      <c r="D1" s="1" t="s">
        <v>12</v>
      </c>
      <c r="F1" s="4" t="s">
        <v>39</v>
      </c>
      <c r="G1" s="3" t="s">
        <v>109</v>
      </c>
      <c r="H1" s="3"/>
    </row>
    <row r="2" spans="1:8" x14ac:dyDescent="0.25">
      <c r="A2" s="2">
        <v>43746</v>
      </c>
      <c r="B2" s="7" t="s">
        <v>35</v>
      </c>
      <c r="C2" s="1" t="s">
        <v>38</v>
      </c>
      <c r="D2" s="39">
        <v>600</v>
      </c>
      <c r="F2" s="1" t="s">
        <v>34</v>
      </c>
      <c r="G2" s="1">
        <f>COUNTIF($B$2:$B$13,F2)</f>
        <v>4</v>
      </c>
      <c r="H2" s="1"/>
    </row>
    <row r="3" spans="1:8" x14ac:dyDescent="0.25">
      <c r="A3" s="2">
        <v>43745</v>
      </c>
      <c r="B3" s="7" t="s">
        <v>35</v>
      </c>
      <c r="C3" s="1" t="s">
        <v>38</v>
      </c>
      <c r="D3" s="39">
        <v>4500</v>
      </c>
      <c r="F3" s="1" t="s">
        <v>35</v>
      </c>
      <c r="G3" s="1">
        <f t="shared" ref="G3:G4" si="0">COUNTIF($B$2:$B$13,F3)</f>
        <v>4</v>
      </c>
      <c r="H3" s="1"/>
    </row>
    <row r="4" spans="1:8" x14ac:dyDescent="0.25">
      <c r="A4" s="2">
        <v>43740</v>
      </c>
      <c r="B4" s="7" t="s">
        <v>35</v>
      </c>
      <c r="C4" s="1" t="s">
        <v>38</v>
      </c>
      <c r="D4" s="39">
        <v>6000</v>
      </c>
      <c r="F4" s="1" t="s">
        <v>108</v>
      </c>
      <c r="G4" s="1">
        <f t="shared" si="0"/>
        <v>4</v>
      </c>
      <c r="H4" s="1"/>
    </row>
    <row r="5" spans="1:8" x14ac:dyDescent="0.25">
      <c r="A5" s="2">
        <v>43742</v>
      </c>
      <c r="B5" s="7" t="s">
        <v>35</v>
      </c>
      <c r="C5" s="1" t="s">
        <v>37</v>
      </c>
      <c r="D5" s="39">
        <v>6500</v>
      </c>
    </row>
    <row r="6" spans="1:8" x14ac:dyDescent="0.25">
      <c r="A6" s="2">
        <v>43748</v>
      </c>
      <c r="B6" s="7" t="s">
        <v>36</v>
      </c>
      <c r="C6" s="1" t="s">
        <v>37</v>
      </c>
      <c r="D6" s="39">
        <v>1450</v>
      </c>
    </row>
    <row r="7" spans="1:8" x14ac:dyDescent="0.25">
      <c r="A7" s="2">
        <v>43747</v>
      </c>
      <c r="B7" s="7" t="s">
        <v>36</v>
      </c>
      <c r="C7" s="1" t="s">
        <v>37</v>
      </c>
      <c r="D7" s="39">
        <v>1500</v>
      </c>
      <c r="F7" s="3" t="s">
        <v>33</v>
      </c>
      <c r="G7" s="3" t="s">
        <v>235</v>
      </c>
    </row>
    <row r="8" spans="1:8" x14ac:dyDescent="0.25">
      <c r="A8" s="2">
        <v>43750</v>
      </c>
      <c r="B8" s="7" t="s">
        <v>36</v>
      </c>
      <c r="C8" s="1" t="s">
        <v>37</v>
      </c>
      <c r="D8" s="39">
        <v>2560</v>
      </c>
      <c r="F8" s="1" t="s">
        <v>37</v>
      </c>
      <c r="G8" s="1">
        <f>COUNTIF($C$2:$C$13,F8)</f>
        <v>7</v>
      </c>
    </row>
    <row r="9" spans="1:8" x14ac:dyDescent="0.25">
      <c r="A9" s="2">
        <v>43744</v>
      </c>
      <c r="B9" s="7" t="s">
        <v>36</v>
      </c>
      <c r="C9" s="1" t="s">
        <v>37</v>
      </c>
      <c r="D9" s="39">
        <v>6000</v>
      </c>
      <c r="F9" s="1" t="s">
        <v>38</v>
      </c>
      <c r="G9" s="1">
        <f>COUNTIF($C$2:$C$13,F9)</f>
        <v>5</v>
      </c>
    </row>
    <row r="10" spans="1:8" x14ac:dyDescent="0.25">
      <c r="A10" s="2">
        <v>43749</v>
      </c>
      <c r="B10" s="7" t="s">
        <v>34</v>
      </c>
      <c r="C10" s="1" t="s">
        <v>38</v>
      </c>
      <c r="D10" s="39">
        <v>650</v>
      </c>
    </row>
    <row r="11" spans="1:8" x14ac:dyDescent="0.25">
      <c r="A11" s="2">
        <v>43743</v>
      </c>
      <c r="B11" s="7" t="s">
        <v>34</v>
      </c>
      <c r="C11" s="1" t="s">
        <v>38</v>
      </c>
      <c r="D11" s="39">
        <v>4500</v>
      </c>
    </row>
    <row r="12" spans="1:8" x14ac:dyDescent="0.25">
      <c r="A12" s="2">
        <v>43741</v>
      </c>
      <c r="B12" s="7" t="s">
        <v>34</v>
      </c>
      <c r="C12" s="1" t="s">
        <v>37</v>
      </c>
      <c r="D12" s="39">
        <v>4500</v>
      </c>
    </row>
    <row r="13" spans="1:8" x14ac:dyDescent="0.25">
      <c r="A13" s="2">
        <v>43739</v>
      </c>
      <c r="B13" s="7" t="s">
        <v>34</v>
      </c>
      <c r="C13" s="1" t="s">
        <v>37</v>
      </c>
      <c r="D13" s="39">
        <v>5000</v>
      </c>
    </row>
    <row r="19" spans="1:7" x14ac:dyDescent="0.25">
      <c r="A19" s="32"/>
      <c r="F19" s="36">
        <v>11</v>
      </c>
    </row>
    <row r="20" spans="1:7" x14ac:dyDescent="0.25">
      <c r="A20" s="32"/>
      <c r="F20">
        <v>11</v>
      </c>
    </row>
    <row r="21" spans="1:7" x14ac:dyDescent="0.25">
      <c r="A21" s="32"/>
    </row>
    <row r="22" spans="1:7" x14ac:dyDescent="0.25">
      <c r="A22" s="32"/>
    </row>
    <row r="23" spans="1:7" x14ac:dyDescent="0.25">
      <c r="A23" s="32"/>
    </row>
    <row r="24" spans="1:7" x14ac:dyDescent="0.25">
      <c r="A24" s="32" t="s">
        <v>139</v>
      </c>
      <c r="F24" s="37">
        <f t="shared" ref="D24:G35" ca="1" si="1">RANDBETWEEN(5000,50000)</f>
        <v>17753</v>
      </c>
      <c r="G24" s="37">
        <f t="shared" ca="1" si="1"/>
        <v>27938</v>
      </c>
    </row>
    <row r="25" spans="1:7" x14ac:dyDescent="0.25">
      <c r="A25" t="s">
        <v>138</v>
      </c>
      <c r="C25" s="35">
        <v>43922</v>
      </c>
      <c r="D25" t="s">
        <v>141</v>
      </c>
      <c r="E25" t="s">
        <v>142</v>
      </c>
      <c r="F25" s="37">
        <f t="shared" ca="1" si="1"/>
        <v>38991</v>
      </c>
      <c r="G25" s="37">
        <f t="shared" ca="1" si="1"/>
        <v>5183</v>
      </c>
    </row>
    <row r="26" spans="1:7" x14ac:dyDescent="0.25">
      <c r="A26" s="32" t="s">
        <v>137</v>
      </c>
      <c r="C26" s="34"/>
      <c r="E26" t="s">
        <v>143</v>
      </c>
      <c r="F26" s="37">
        <f t="shared" ca="1" si="1"/>
        <v>38765</v>
      </c>
      <c r="G26" s="37">
        <f t="shared" ca="1" si="1"/>
        <v>18673</v>
      </c>
    </row>
    <row r="27" spans="1:7" x14ac:dyDescent="0.25">
      <c r="A27" t="s">
        <v>140</v>
      </c>
      <c r="C27" s="34"/>
      <c r="E27" t="s">
        <v>144</v>
      </c>
      <c r="F27" s="37">
        <f t="shared" ca="1" si="1"/>
        <v>16273</v>
      </c>
      <c r="G27" s="37">
        <f t="shared" ca="1" si="1"/>
        <v>28442</v>
      </c>
    </row>
    <row r="28" spans="1:7" x14ac:dyDescent="0.25">
      <c r="A28" s="32"/>
      <c r="C28" s="34"/>
      <c r="E28" t="s">
        <v>145</v>
      </c>
      <c r="F28" s="37">
        <f t="shared" ca="1" si="1"/>
        <v>14912</v>
      </c>
      <c r="G28" s="37">
        <f t="shared" ca="1" si="1"/>
        <v>16252</v>
      </c>
    </row>
    <row r="29" spans="1:7" x14ac:dyDescent="0.25">
      <c r="A29" s="32"/>
      <c r="C29" s="34"/>
      <c r="F29" s="37">
        <f t="shared" ca="1" si="1"/>
        <v>16425</v>
      </c>
      <c r="G29" s="37">
        <f t="shared" ca="1" si="1"/>
        <v>11897</v>
      </c>
    </row>
    <row r="30" spans="1:7" x14ac:dyDescent="0.25">
      <c r="A30" s="32"/>
      <c r="C30" s="37">
        <f ca="1">RANDBETWEEN(5000,50000)</f>
        <v>47671</v>
      </c>
      <c r="D30" s="37">
        <f t="shared" ca="1" si="1"/>
        <v>11434</v>
      </c>
      <c r="E30" s="37">
        <f t="shared" ca="1" si="1"/>
        <v>12314</v>
      </c>
    </row>
    <row r="31" spans="1:7" ht="21" x14ac:dyDescent="0.35">
      <c r="A31" s="32"/>
      <c r="C31" s="37">
        <f t="shared" ref="C31:C35" ca="1" si="2">RANDBETWEEN(5000,50000)</f>
        <v>39568</v>
      </c>
      <c r="D31" s="37">
        <f t="shared" ca="1" si="1"/>
        <v>42827</v>
      </c>
      <c r="E31" s="37">
        <f t="shared" ca="1" si="1"/>
        <v>43341</v>
      </c>
      <c r="G31" s="38" t="s">
        <v>150</v>
      </c>
    </row>
    <row r="32" spans="1:7" x14ac:dyDescent="0.25">
      <c r="A32" s="32"/>
      <c r="C32" s="37">
        <f t="shared" ca="1" si="2"/>
        <v>45471</v>
      </c>
      <c r="D32" s="37">
        <f t="shared" ca="1" si="1"/>
        <v>38349</v>
      </c>
      <c r="E32" s="37">
        <f t="shared" ca="1" si="1"/>
        <v>7219</v>
      </c>
    </row>
    <row r="33" spans="1:5" x14ac:dyDescent="0.25">
      <c r="A33" s="32"/>
      <c r="C33" s="37">
        <f t="shared" ca="1" si="2"/>
        <v>12859</v>
      </c>
      <c r="D33" s="37">
        <f t="shared" ca="1" si="1"/>
        <v>33386</v>
      </c>
      <c r="E33" s="37">
        <f t="shared" ca="1" si="1"/>
        <v>14240</v>
      </c>
    </row>
    <row r="34" spans="1:5" x14ac:dyDescent="0.25">
      <c r="A34" s="33"/>
      <c r="C34" s="37">
        <f t="shared" ca="1" si="2"/>
        <v>41396</v>
      </c>
      <c r="D34" s="37">
        <f t="shared" ca="1" si="1"/>
        <v>33252</v>
      </c>
      <c r="E34" s="37">
        <f t="shared" ca="1" si="1"/>
        <v>26332</v>
      </c>
    </row>
    <row r="35" spans="1:5" x14ac:dyDescent="0.25">
      <c r="A35" s="33"/>
      <c r="C35" s="37">
        <f t="shared" ca="1" si="2"/>
        <v>11149</v>
      </c>
      <c r="D35" s="37">
        <f t="shared" ca="1" si="1"/>
        <v>26414</v>
      </c>
      <c r="E35" s="37">
        <f t="shared" ca="1" si="1"/>
        <v>40592</v>
      </c>
    </row>
    <row r="36" spans="1:5" x14ac:dyDescent="0.25">
      <c r="A36" s="33"/>
    </row>
    <row r="37" spans="1:5" x14ac:dyDescent="0.25">
      <c r="A37" s="33"/>
      <c r="D37" t="s">
        <v>146</v>
      </c>
      <c r="E37" t="s">
        <v>147</v>
      </c>
    </row>
    <row r="38" spans="1:5" x14ac:dyDescent="0.25">
      <c r="A38" s="33"/>
      <c r="D38" t="s">
        <v>148</v>
      </c>
      <c r="E38" t="s">
        <v>149</v>
      </c>
    </row>
    <row r="39" spans="1:5" x14ac:dyDescent="0.25">
      <c r="A39" s="33"/>
    </row>
    <row r="40" spans="1:5" x14ac:dyDescent="0.25">
      <c r="A40" s="33"/>
    </row>
  </sheetData>
  <sortState xmlns:xlrd2="http://schemas.microsoft.com/office/spreadsheetml/2017/richdata2" ref="A2:D11">
    <sortCondition ref="B2"/>
  </sortState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zoomScale="160" zoomScaleNormal="160" workbookViewId="0">
      <selection activeCell="K6" sqref="K6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6" width="14" bestFit="1" customWidth="1"/>
  </cols>
  <sheetData>
    <row r="1" spans="1:8" x14ac:dyDescent="0.25">
      <c r="A1" s="3" t="s">
        <v>31</v>
      </c>
      <c r="B1" s="3" t="s">
        <v>32</v>
      </c>
      <c r="C1" s="3" t="s">
        <v>33</v>
      </c>
      <c r="D1" s="3" t="s">
        <v>12</v>
      </c>
      <c r="F1" s="4" t="s">
        <v>39</v>
      </c>
      <c r="G1" s="3" t="s">
        <v>37</v>
      </c>
      <c r="H1" s="3" t="s">
        <v>38</v>
      </c>
    </row>
    <row r="2" spans="1:8" x14ac:dyDescent="0.25">
      <c r="A2" s="2">
        <v>43739</v>
      </c>
      <c r="B2" s="1" t="s">
        <v>34</v>
      </c>
      <c r="C2" s="1" t="s">
        <v>37</v>
      </c>
      <c r="D2" s="1">
        <v>5000</v>
      </c>
      <c r="F2" s="1" t="s">
        <v>34</v>
      </c>
      <c r="G2" s="1">
        <f>COUNTIFS($B$2:$B$13,F2,$C$2:$C$13,$G$1)</f>
        <v>2</v>
      </c>
      <c r="H2" s="1">
        <f>COUNTIFS($B$2:$B$13,F2,$C$2:$C$13,$H$1)</f>
        <v>2</v>
      </c>
    </row>
    <row r="3" spans="1:8" x14ac:dyDescent="0.25">
      <c r="A3" s="2">
        <v>43740</v>
      </c>
      <c r="B3" s="1" t="s">
        <v>35</v>
      </c>
      <c r="C3" s="1" t="s">
        <v>38</v>
      </c>
      <c r="D3" s="1">
        <v>6000</v>
      </c>
      <c r="F3" s="1" t="s">
        <v>35</v>
      </c>
      <c r="G3" s="1">
        <f t="shared" ref="G3:G4" si="0">COUNTIFS($B$2:$B$13,F3,$C$2:$C$13,$G$1)</f>
        <v>1</v>
      </c>
      <c r="H3" s="1">
        <f t="shared" ref="H3:H4" si="1">COUNTIFS($B$2:$B$13,F3,$C$2:$C$13,$H$1)</f>
        <v>3</v>
      </c>
    </row>
    <row r="4" spans="1:8" x14ac:dyDescent="0.25">
      <c r="A4" s="2">
        <v>43741</v>
      </c>
      <c r="B4" s="1" t="s">
        <v>34</v>
      </c>
      <c r="C4" s="1" t="s">
        <v>37</v>
      </c>
      <c r="D4" s="1">
        <v>4500</v>
      </c>
      <c r="F4" s="1" t="s">
        <v>108</v>
      </c>
      <c r="G4" s="1">
        <f t="shared" si="0"/>
        <v>4</v>
      </c>
      <c r="H4" s="1">
        <f t="shared" si="1"/>
        <v>0</v>
      </c>
    </row>
    <row r="5" spans="1:8" x14ac:dyDescent="0.25">
      <c r="A5" s="2">
        <v>43742</v>
      </c>
      <c r="B5" s="1" t="s">
        <v>35</v>
      </c>
      <c r="C5" s="1" t="s">
        <v>37</v>
      </c>
      <c r="D5" s="1">
        <v>6500</v>
      </c>
    </row>
    <row r="6" spans="1:8" x14ac:dyDescent="0.25">
      <c r="A6" s="2">
        <v>43743</v>
      </c>
      <c r="B6" s="1" t="s">
        <v>34</v>
      </c>
      <c r="C6" s="1" t="s">
        <v>38</v>
      </c>
      <c r="D6" s="1">
        <v>4500</v>
      </c>
    </row>
    <row r="7" spans="1:8" x14ac:dyDescent="0.25">
      <c r="A7" s="2">
        <v>43744</v>
      </c>
      <c r="B7" s="1" t="s">
        <v>36</v>
      </c>
      <c r="C7" s="1" t="s">
        <v>37</v>
      </c>
      <c r="D7" s="1">
        <v>6000</v>
      </c>
    </row>
    <row r="8" spans="1:8" x14ac:dyDescent="0.25">
      <c r="A8" s="2">
        <v>43745</v>
      </c>
      <c r="B8" s="1" t="s">
        <v>35</v>
      </c>
      <c r="C8" s="1" t="s">
        <v>38</v>
      </c>
      <c r="D8" s="1">
        <v>4500</v>
      </c>
    </row>
    <row r="9" spans="1:8" x14ac:dyDescent="0.25">
      <c r="A9" s="2">
        <v>43746</v>
      </c>
      <c r="B9" s="1" t="s">
        <v>35</v>
      </c>
      <c r="C9" s="1" t="s">
        <v>38</v>
      </c>
      <c r="D9" s="1">
        <v>600</v>
      </c>
    </row>
    <row r="10" spans="1:8" x14ac:dyDescent="0.25">
      <c r="A10" s="2">
        <v>43747</v>
      </c>
      <c r="B10" s="1" t="s">
        <v>36</v>
      </c>
      <c r="C10" s="1" t="s">
        <v>37</v>
      </c>
      <c r="D10" s="1">
        <v>1500</v>
      </c>
    </row>
    <row r="11" spans="1:8" x14ac:dyDescent="0.25">
      <c r="A11" s="2">
        <v>43748</v>
      </c>
      <c r="B11" s="1" t="s">
        <v>36</v>
      </c>
      <c r="C11" s="1" t="s">
        <v>37</v>
      </c>
      <c r="D11" s="1">
        <v>1450</v>
      </c>
    </row>
    <row r="12" spans="1:8" x14ac:dyDescent="0.25">
      <c r="A12" s="2">
        <v>43749</v>
      </c>
      <c r="B12" s="1" t="s">
        <v>34</v>
      </c>
      <c r="C12" s="1" t="s">
        <v>38</v>
      </c>
      <c r="D12" s="1">
        <v>650</v>
      </c>
    </row>
    <row r="13" spans="1:8" x14ac:dyDescent="0.25">
      <c r="A13" s="2">
        <v>43750</v>
      </c>
      <c r="B13" s="1" t="s">
        <v>36</v>
      </c>
      <c r="C13" s="1" t="s">
        <v>37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6"/>
  <sheetViews>
    <sheetView zoomScale="167" zoomScaleNormal="130" workbookViewId="0">
      <selection activeCell="G15" sqref="G15:G16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6" width="14" bestFit="1" customWidth="1"/>
  </cols>
  <sheetData>
    <row r="1" spans="1:10" x14ac:dyDescent="0.25">
      <c r="A1" s="3" t="s">
        <v>31</v>
      </c>
      <c r="B1" s="3" t="s">
        <v>32</v>
      </c>
      <c r="C1" s="3" t="s">
        <v>33</v>
      </c>
      <c r="D1" s="3" t="s">
        <v>12</v>
      </c>
      <c r="F1" s="3" t="s">
        <v>32</v>
      </c>
      <c r="G1" s="3" t="s">
        <v>37</v>
      </c>
      <c r="H1" s="3" t="s">
        <v>38</v>
      </c>
    </row>
    <row r="2" spans="1:10" x14ac:dyDescent="0.25">
      <c r="A2" s="2">
        <v>43739</v>
      </c>
      <c r="B2" s="1" t="s">
        <v>34</v>
      </c>
      <c r="C2" s="1" t="s">
        <v>37</v>
      </c>
      <c r="D2" s="1">
        <v>5000</v>
      </c>
      <c r="F2" s="1" t="s">
        <v>34</v>
      </c>
      <c r="G2" s="1">
        <f>AVERAGEIFS($D$2:$D$13,$B$2:$B$13,F2,$C$2:$C$13,$G$1)</f>
        <v>4750</v>
      </c>
      <c r="H2" s="1">
        <f>AVERAGEIFS($D$2:$D$13,$B$2:$B$13,F2,$C$2:$C$13,$H$1)</f>
        <v>2575</v>
      </c>
      <c r="J2" s="1"/>
    </row>
    <row r="3" spans="1:10" x14ac:dyDescent="0.25">
      <c r="A3" s="2">
        <v>43740</v>
      </c>
      <c r="B3" s="1" t="s">
        <v>35</v>
      </c>
      <c r="C3" s="1" t="s">
        <v>38</v>
      </c>
      <c r="D3" s="1">
        <v>6000</v>
      </c>
      <c r="F3" s="1" t="s">
        <v>35</v>
      </c>
      <c r="G3" s="1">
        <f t="shared" ref="G3:G4" si="0">AVERAGEIFS($D$2:$D$13,$B$2:$B$13,F3,$C$2:$C$13,$G$1)</f>
        <v>6500</v>
      </c>
      <c r="H3" s="1">
        <f t="shared" ref="H3" si="1">AVERAGEIFS($D$2:$D$13,$B$2:$B$13,F3,$C$2:$C$13,$H$1)</f>
        <v>3700</v>
      </c>
      <c r="J3" s="1"/>
    </row>
    <row r="4" spans="1:10" x14ac:dyDescent="0.25">
      <c r="A4" s="2">
        <v>43741</v>
      </c>
      <c r="B4" s="1" t="s">
        <v>34</v>
      </c>
      <c r="C4" s="1" t="s">
        <v>37</v>
      </c>
      <c r="D4" s="1">
        <v>4500</v>
      </c>
      <c r="F4" s="1" t="s">
        <v>36</v>
      </c>
      <c r="G4" s="1">
        <f t="shared" si="0"/>
        <v>2877.5</v>
      </c>
      <c r="H4" s="1" t="e">
        <f>AVERAGEIFS($D$2:$D$13,$B$2:$B$13,F4,$C$2:$C$13,$H$1)</f>
        <v>#DIV/0!</v>
      </c>
      <c r="J4" s="1"/>
    </row>
    <row r="5" spans="1:10" x14ac:dyDescent="0.25">
      <c r="A5" s="2">
        <v>43742</v>
      </c>
      <c r="B5" s="1" t="s">
        <v>35</v>
      </c>
      <c r="C5" s="1" t="s">
        <v>37</v>
      </c>
      <c r="D5" s="1">
        <v>6500</v>
      </c>
    </row>
    <row r="6" spans="1:10" x14ac:dyDescent="0.25">
      <c r="A6" s="2">
        <v>43743</v>
      </c>
      <c r="B6" s="1" t="s">
        <v>34</v>
      </c>
      <c r="C6" s="1" t="s">
        <v>38</v>
      </c>
      <c r="D6" s="1">
        <v>4500</v>
      </c>
    </row>
    <row r="7" spans="1:10" x14ac:dyDescent="0.25">
      <c r="A7" s="2">
        <v>43744</v>
      </c>
      <c r="B7" s="1" t="s">
        <v>36</v>
      </c>
      <c r="C7" s="1" t="s">
        <v>37</v>
      </c>
      <c r="D7" s="1">
        <v>6000</v>
      </c>
    </row>
    <row r="8" spans="1:10" x14ac:dyDescent="0.25">
      <c r="A8" s="2">
        <v>43745</v>
      </c>
      <c r="B8" s="1" t="s">
        <v>35</v>
      </c>
      <c r="C8" s="1" t="s">
        <v>38</v>
      </c>
      <c r="D8" s="1">
        <v>4500</v>
      </c>
      <c r="F8" s="3" t="s">
        <v>32</v>
      </c>
      <c r="G8" s="3" t="s">
        <v>12</v>
      </c>
    </row>
    <row r="9" spans="1:10" x14ac:dyDescent="0.25">
      <c r="A9" s="2">
        <v>43746</v>
      </c>
      <c r="B9" s="1" t="s">
        <v>35</v>
      </c>
      <c r="C9" s="1" t="s">
        <v>38</v>
      </c>
      <c r="D9" s="1">
        <v>600</v>
      </c>
      <c r="F9" s="1" t="s">
        <v>34</v>
      </c>
      <c r="G9" s="1">
        <f>AVERAGEIF($B$2:$B$13,F9,$D$2:$D$13)</f>
        <v>3662.5</v>
      </c>
    </row>
    <row r="10" spans="1:10" x14ac:dyDescent="0.25">
      <c r="A10" s="2">
        <v>43747</v>
      </c>
      <c r="B10" s="1" t="s">
        <v>36</v>
      </c>
      <c r="C10" s="1" t="s">
        <v>37</v>
      </c>
      <c r="D10" s="1">
        <v>1500</v>
      </c>
      <c r="F10" s="1" t="s">
        <v>35</v>
      </c>
      <c r="G10" s="1">
        <f t="shared" ref="G10:G11" si="2">AVERAGEIF($B$2:$B$13,F10,$D$2:$D$13)</f>
        <v>4400</v>
      </c>
    </row>
    <row r="11" spans="1:10" x14ac:dyDescent="0.25">
      <c r="A11" s="2">
        <v>43748</v>
      </c>
      <c r="B11" s="1" t="s">
        <v>36</v>
      </c>
      <c r="C11" s="1" t="s">
        <v>37</v>
      </c>
      <c r="D11" s="1">
        <v>1450</v>
      </c>
      <c r="F11" s="1" t="s">
        <v>108</v>
      </c>
      <c r="G11" s="1">
        <f t="shared" si="2"/>
        <v>2877.5</v>
      </c>
    </row>
    <row r="12" spans="1:10" x14ac:dyDescent="0.25">
      <c r="A12" s="2">
        <v>43749</v>
      </c>
      <c r="B12" s="1" t="s">
        <v>34</v>
      </c>
      <c r="C12" s="1" t="s">
        <v>38</v>
      </c>
      <c r="D12" s="1">
        <v>650</v>
      </c>
    </row>
    <row r="13" spans="1:10" x14ac:dyDescent="0.25">
      <c r="A13" s="2">
        <v>43750</v>
      </c>
      <c r="B13" s="1" t="s">
        <v>36</v>
      </c>
      <c r="C13" s="1" t="s">
        <v>37</v>
      </c>
      <c r="D13" s="1">
        <v>2560</v>
      </c>
    </row>
    <row r="14" spans="1:10" x14ac:dyDescent="0.25">
      <c r="F14" s="3" t="s">
        <v>33</v>
      </c>
      <c r="G14" s="3" t="s">
        <v>12</v>
      </c>
    </row>
    <row r="15" spans="1:10" x14ac:dyDescent="0.25">
      <c r="F15" s="1" t="s">
        <v>37</v>
      </c>
      <c r="G15" s="1">
        <f>AVERAGEIF($C$2:$C$13,F15,$D$2:$D$13)</f>
        <v>3930</v>
      </c>
    </row>
    <row r="16" spans="1:10" x14ac:dyDescent="0.25">
      <c r="F16" s="1" t="s">
        <v>38</v>
      </c>
      <c r="G16" s="1">
        <f>AVERAGEIF($C$2:$C$13,F16,$D$2:$D$13)</f>
        <v>3250</v>
      </c>
    </row>
  </sheetData>
  <autoFilter ref="A1:D13" xr:uid="{00000000-0009-0000-0000-000009000000}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3"/>
  <sheetViews>
    <sheetView zoomScale="123" zoomScaleNormal="160" workbookViewId="0">
      <selection activeCell="D2" sqref="D2"/>
    </sheetView>
  </sheetViews>
  <sheetFormatPr defaultRowHeight="15" x14ac:dyDescent="0.25"/>
  <cols>
    <col min="1" max="1" width="10.28515625" bestFit="1" customWidth="1"/>
    <col min="2" max="2" width="14.28515625" bestFit="1" customWidth="1"/>
    <col min="3" max="3" width="11.28515625" bestFit="1" customWidth="1"/>
    <col min="4" max="4" width="7.5703125" bestFit="1" customWidth="1"/>
  </cols>
  <sheetData>
    <row r="1" spans="1:4" x14ac:dyDescent="0.25">
      <c r="A1" t="s">
        <v>31</v>
      </c>
      <c r="B1" t="s">
        <v>32</v>
      </c>
      <c r="C1" t="s">
        <v>33</v>
      </c>
      <c r="D1" t="s">
        <v>12</v>
      </c>
    </row>
    <row r="2" spans="1:4" x14ac:dyDescent="0.25">
      <c r="A2" s="40">
        <v>43740</v>
      </c>
      <c r="B2" t="s">
        <v>35</v>
      </c>
      <c r="C2" t="s">
        <v>38</v>
      </c>
      <c r="D2">
        <v>20588</v>
      </c>
    </row>
    <row r="3" spans="1:4" x14ac:dyDescent="0.25">
      <c r="A3" s="40">
        <v>43742</v>
      </c>
      <c r="B3" t="s">
        <v>35</v>
      </c>
      <c r="C3" t="s">
        <v>37</v>
      </c>
      <c r="D3">
        <v>42392</v>
      </c>
    </row>
    <row r="4" spans="1:4" x14ac:dyDescent="0.25">
      <c r="A4" s="40">
        <v>43745</v>
      </c>
      <c r="B4" t="s">
        <v>35</v>
      </c>
      <c r="C4" t="s">
        <v>38</v>
      </c>
      <c r="D4">
        <v>16334</v>
      </c>
    </row>
    <row r="5" spans="1:4" x14ac:dyDescent="0.25">
      <c r="A5" s="40">
        <v>43746</v>
      </c>
      <c r="B5" t="s">
        <v>35</v>
      </c>
      <c r="C5" t="s">
        <v>38</v>
      </c>
      <c r="D5">
        <v>24400</v>
      </c>
    </row>
    <row r="6" spans="1:4" x14ac:dyDescent="0.25">
      <c r="A6" s="40">
        <v>43744</v>
      </c>
      <c r="B6" t="s">
        <v>36</v>
      </c>
      <c r="C6" t="s">
        <v>37</v>
      </c>
      <c r="D6">
        <v>44441</v>
      </c>
    </row>
    <row r="7" spans="1:4" x14ac:dyDescent="0.25">
      <c r="A7" s="40">
        <v>43747</v>
      </c>
      <c r="B7" t="s">
        <v>36</v>
      </c>
      <c r="C7" t="s">
        <v>37</v>
      </c>
      <c r="D7">
        <v>32074</v>
      </c>
    </row>
    <row r="8" spans="1:4" x14ac:dyDescent="0.25">
      <c r="A8" s="40">
        <v>44062</v>
      </c>
      <c r="B8" t="s">
        <v>36</v>
      </c>
      <c r="C8" t="s">
        <v>37</v>
      </c>
      <c r="D8">
        <v>33268</v>
      </c>
    </row>
    <row r="9" spans="1:4" x14ac:dyDescent="0.25">
      <c r="A9" s="40">
        <v>43750</v>
      </c>
      <c r="B9" t="s">
        <v>36</v>
      </c>
      <c r="C9" t="s">
        <v>37</v>
      </c>
      <c r="D9">
        <v>19887</v>
      </c>
    </row>
    <row r="10" spans="1:4" x14ac:dyDescent="0.25">
      <c r="A10" s="40">
        <v>43739</v>
      </c>
      <c r="B10" t="s">
        <v>34</v>
      </c>
      <c r="C10" t="s">
        <v>37</v>
      </c>
      <c r="D10">
        <v>41659</v>
      </c>
    </row>
    <row r="11" spans="1:4" x14ac:dyDescent="0.25">
      <c r="A11" s="40">
        <v>43741</v>
      </c>
      <c r="B11" t="s">
        <v>34</v>
      </c>
      <c r="C11" t="s">
        <v>37</v>
      </c>
      <c r="D11">
        <v>17770</v>
      </c>
    </row>
    <row r="12" spans="1:4" x14ac:dyDescent="0.25">
      <c r="A12" s="40">
        <v>43743</v>
      </c>
      <c r="B12" t="s">
        <v>34</v>
      </c>
      <c r="C12" t="s">
        <v>38</v>
      </c>
      <c r="D12">
        <v>16888</v>
      </c>
    </row>
    <row r="13" spans="1:4" x14ac:dyDescent="0.25">
      <c r="A13" s="40">
        <v>43749</v>
      </c>
      <c r="B13" t="s">
        <v>34</v>
      </c>
      <c r="C13" t="s">
        <v>38</v>
      </c>
      <c r="D13">
        <v>7636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4"/>
  <sheetViews>
    <sheetView zoomScale="160" zoomScaleNormal="160" workbookViewId="0">
      <selection activeCell="J11" sqref="J11"/>
    </sheetView>
  </sheetViews>
  <sheetFormatPr defaultRowHeight="15" x14ac:dyDescent="0.25"/>
  <cols>
    <col min="1" max="1" width="10.42578125" bestFit="1" customWidth="1"/>
    <col min="2" max="2" width="11.5703125" customWidth="1"/>
    <col min="7" max="7" width="10.7109375" bestFit="1" customWidth="1"/>
  </cols>
  <sheetData>
    <row r="1" spans="1:11" x14ac:dyDescent="0.25">
      <c r="A1" s="3" t="s">
        <v>31</v>
      </c>
      <c r="B1" s="3" t="s">
        <v>110</v>
      </c>
      <c r="C1" s="3" t="s">
        <v>111</v>
      </c>
      <c r="D1" s="3" t="s">
        <v>47</v>
      </c>
      <c r="E1" s="3" t="s">
        <v>39</v>
      </c>
    </row>
    <row r="2" spans="1:11" x14ac:dyDescent="0.25">
      <c r="A2" s="2">
        <v>43739</v>
      </c>
      <c r="B2" s="1" t="s">
        <v>56</v>
      </c>
      <c r="C2" s="1">
        <v>500</v>
      </c>
      <c r="D2" s="1">
        <v>450</v>
      </c>
      <c r="E2">
        <f>SUMPRODUCT(C2,D2)</f>
        <v>225000</v>
      </c>
      <c r="G2" t="s">
        <v>202</v>
      </c>
    </row>
    <row r="3" spans="1:11" x14ac:dyDescent="0.25">
      <c r="A3" s="2">
        <v>43740</v>
      </c>
      <c r="B3" s="1" t="s">
        <v>48</v>
      </c>
      <c r="C3" s="1">
        <v>600</v>
      </c>
      <c r="D3" s="1">
        <v>950</v>
      </c>
      <c r="E3">
        <f t="shared" ref="E3:E13" si="0">SUMPRODUCT(C3,D3)</f>
        <v>570000</v>
      </c>
    </row>
    <row r="4" spans="1:11" x14ac:dyDescent="0.25">
      <c r="A4" s="2">
        <v>43741</v>
      </c>
      <c r="B4" s="1" t="s">
        <v>49</v>
      </c>
      <c r="C4" s="1">
        <v>450</v>
      </c>
      <c r="D4" s="1">
        <v>350</v>
      </c>
      <c r="E4">
        <f t="shared" si="0"/>
        <v>157500</v>
      </c>
    </row>
    <row r="5" spans="1:11" x14ac:dyDescent="0.25">
      <c r="A5" s="2">
        <v>43742</v>
      </c>
      <c r="B5" s="1" t="s">
        <v>54</v>
      </c>
      <c r="C5" s="1">
        <v>350</v>
      </c>
      <c r="D5" s="1">
        <v>350</v>
      </c>
      <c r="E5">
        <f t="shared" si="0"/>
        <v>122500</v>
      </c>
      <c r="G5" s="3" t="s">
        <v>110</v>
      </c>
      <c r="H5" t="s">
        <v>204</v>
      </c>
    </row>
    <row r="6" spans="1:11" x14ac:dyDescent="0.25">
      <c r="A6" s="2">
        <v>43743</v>
      </c>
      <c r="B6" s="1" t="s">
        <v>53</v>
      </c>
      <c r="C6" s="1">
        <v>650</v>
      </c>
      <c r="D6" s="1">
        <v>250</v>
      </c>
      <c r="E6">
        <f t="shared" si="0"/>
        <v>162500</v>
      </c>
      <c r="G6" s="1" t="s">
        <v>54</v>
      </c>
      <c r="I6" t="s">
        <v>203</v>
      </c>
    </row>
    <row r="7" spans="1:11" x14ac:dyDescent="0.25">
      <c r="A7" s="2">
        <v>43744</v>
      </c>
      <c r="B7" s="1" t="s">
        <v>50</v>
      </c>
      <c r="C7" s="1">
        <v>120</v>
      </c>
      <c r="D7" s="1">
        <v>850</v>
      </c>
      <c r="E7">
        <f t="shared" si="0"/>
        <v>102000</v>
      </c>
      <c r="I7" t="s">
        <v>205</v>
      </c>
    </row>
    <row r="8" spans="1:11" x14ac:dyDescent="0.25">
      <c r="A8" s="2">
        <v>43745</v>
      </c>
      <c r="B8" s="1" t="s">
        <v>51</v>
      </c>
      <c r="C8" s="1">
        <v>250</v>
      </c>
      <c r="D8" s="1">
        <v>3500</v>
      </c>
      <c r="E8">
        <f t="shared" si="0"/>
        <v>875000</v>
      </c>
    </row>
    <row r="9" spans="1:11" x14ac:dyDescent="0.25">
      <c r="A9" s="2">
        <v>43746</v>
      </c>
      <c r="B9" s="1" t="s">
        <v>52</v>
      </c>
      <c r="C9" s="1">
        <v>150</v>
      </c>
      <c r="D9" s="1">
        <v>2500</v>
      </c>
      <c r="E9">
        <f t="shared" si="0"/>
        <v>375000</v>
      </c>
    </row>
    <row r="10" spans="1:11" x14ac:dyDescent="0.25">
      <c r="A10" s="2">
        <v>43747</v>
      </c>
      <c r="B10" s="1" t="s">
        <v>53</v>
      </c>
      <c r="C10" s="1">
        <v>250</v>
      </c>
      <c r="D10" s="1">
        <v>2500</v>
      </c>
      <c r="E10">
        <f t="shared" si="0"/>
        <v>625000</v>
      </c>
    </row>
    <row r="11" spans="1:11" x14ac:dyDescent="0.25">
      <c r="A11" s="2">
        <v>43748</v>
      </c>
      <c r="B11" s="1" t="s">
        <v>54</v>
      </c>
      <c r="C11" s="1">
        <v>360</v>
      </c>
      <c r="D11" s="1">
        <v>3500</v>
      </c>
      <c r="E11">
        <f t="shared" si="0"/>
        <v>1260000</v>
      </c>
    </row>
    <row r="12" spans="1:11" x14ac:dyDescent="0.25">
      <c r="A12" s="2">
        <v>43749</v>
      </c>
      <c r="B12" s="1" t="s">
        <v>55</v>
      </c>
      <c r="C12" s="1">
        <v>120</v>
      </c>
      <c r="D12" s="1">
        <v>1800</v>
      </c>
      <c r="E12">
        <f t="shared" si="0"/>
        <v>216000</v>
      </c>
      <c r="G12" s="3" t="s">
        <v>110</v>
      </c>
      <c r="H12" s="3" t="s">
        <v>111</v>
      </c>
      <c r="I12" t="s">
        <v>208</v>
      </c>
    </row>
    <row r="13" spans="1:11" x14ac:dyDescent="0.25">
      <c r="A13" s="2">
        <v>43750</v>
      </c>
      <c r="B13" s="1" t="s">
        <v>54</v>
      </c>
      <c r="C13" s="1">
        <v>210</v>
      </c>
      <c r="D13" s="1">
        <v>1200</v>
      </c>
      <c r="E13">
        <f t="shared" si="0"/>
        <v>252000</v>
      </c>
      <c r="G13" s="1" t="s">
        <v>54</v>
      </c>
      <c r="H13" t="s">
        <v>207</v>
      </c>
      <c r="K13" t="s">
        <v>206</v>
      </c>
    </row>
    <row r="14" spans="1:11" x14ac:dyDescent="0.25">
      <c r="K14" t="s">
        <v>205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4"/>
  <sheetViews>
    <sheetView topLeftCell="A14" zoomScale="145" zoomScaleNormal="145" workbookViewId="0">
      <selection activeCell="H16" sqref="H16"/>
    </sheetView>
  </sheetViews>
  <sheetFormatPr defaultRowHeight="15" x14ac:dyDescent="0.25"/>
  <cols>
    <col min="1" max="1" width="16.85546875" bestFit="1" customWidth="1"/>
    <col min="2" max="3" width="19.7109375" customWidth="1"/>
    <col min="4" max="4" width="16.85546875" bestFit="1" customWidth="1"/>
    <col min="5" max="5" width="8.28515625" bestFit="1" customWidth="1"/>
    <col min="6" max="6" width="6.28515625" bestFit="1" customWidth="1"/>
    <col min="7" max="7" width="6.85546875" bestFit="1" customWidth="1"/>
    <col min="8" max="8" width="10.85546875" bestFit="1" customWidth="1"/>
    <col min="11" max="11" width="18.28515625" bestFit="1" customWidth="1"/>
  </cols>
  <sheetData>
    <row r="1" spans="1:7" x14ac:dyDescent="0.25">
      <c r="D1" s="3" t="s">
        <v>65</v>
      </c>
      <c r="E1" s="3" t="s">
        <v>114</v>
      </c>
      <c r="F1" s="3" t="s">
        <v>115</v>
      </c>
      <c r="G1" s="3" t="s">
        <v>116</v>
      </c>
    </row>
    <row r="2" spans="1:7" x14ac:dyDescent="0.25">
      <c r="A2" t="s">
        <v>151</v>
      </c>
      <c r="D2" s="1" t="s">
        <v>66</v>
      </c>
      <c r="E2" t="str">
        <f>LEFT(D2,6)</f>
        <v>Mumbai</v>
      </c>
      <c r="F2" t="str">
        <f>RIGHT(D2,3)</f>
        <v>086</v>
      </c>
      <c r="G2" t="str">
        <f>MID(D2,4,7)</f>
        <v>bai -40</v>
      </c>
    </row>
    <row r="3" spans="1:7" x14ac:dyDescent="0.25">
      <c r="A3" t="s">
        <v>152</v>
      </c>
      <c r="D3" s="1" t="s">
        <v>67</v>
      </c>
      <c r="E3" t="str">
        <f t="shared" ref="E3:E13" si="0">LEFT(D3,6)</f>
        <v>Mumbai</v>
      </c>
      <c r="F3" t="str">
        <f t="shared" ref="F3:F13" si="1">RIGHT(D3,3)</f>
        <v>087</v>
      </c>
      <c r="G3" t="str">
        <f t="shared" ref="G3:G13" si="2">MID(D3,4,7)</f>
        <v>bai -40</v>
      </c>
    </row>
    <row r="4" spans="1:7" x14ac:dyDescent="0.25">
      <c r="A4" t="s">
        <v>153</v>
      </c>
      <c r="D4" s="1" t="s">
        <v>68</v>
      </c>
      <c r="E4" t="str">
        <f t="shared" si="0"/>
        <v>Mumbai</v>
      </c>
      <c r="F4" t="str">
        <f t="shared" si="1"/>
        <v>088</v>
      </c>
      <c r="G4" t="str">
        <f t="shared" si="2"/>
        <v>bai -40</v>
      </c>
    </row>
    <row r="5" spans="1:7" x14ac:dyDescent="0.25">
      <c r="A5" t="s">
        <v>154</v>
      </c>
      <c r="D5" s="1" t="s">
        <v>69</v>
      </c>
      <c r="E5" t="str">
        <f t="shared" si="0"/>
        <v>Mumbai</v>
      </c>
      <c r="F5" t="str">
        <f t="shared" si="1"/>
        <v>089</v>
      </c>
      <c r="G5" t="str">
        <f t="shared" si="2"/>
        <v>bai -40</v>
      </c>
    </row>
    <row r="6" spans="1:7" x14ac:dyDescent="0.25">
      <c r="A6" t="s">
        <v>155</v>
      </c>
      <c r="D6" s="1" t="s">
        <v>70</v>
      </c>
      <c r="E6" t="str">
        <f t="shared" si="0"/>
        <v>Mumbai</v>
      </c>
      <c r="F6" t="str">
        <f t="shared" si="1"/>
        <v>090</v>
      </c>
      <c r="G6" t="str">
        <f t="shared" si="2"/>
        <v>bai -40</v>
      </c>
    </row>
    <row r="7" spans="1:7" x14ac:dyDescent="0.25">
      <c r="A7" t="s">
        <v>156</v>
      </c>
      <c r="D7" s="1" t="s">
        <v>71</v>
      </c>
      <c r="E7" t="str">
        <f t="shared" si="0"/>
        <v>Mumbai</v>
      </c>
      <c r="F7" t="str">
        <f t="shared" si="1"/>
        <v>091</v>
      </c>
      <c r="G7" t="str">
        <f t="shared" si="2"/>
        <v>bai -40</v>
      </c>
    </row>
    <row r="8" spans="1:7" x14ac:dyDescent="0.25">
      <c r="A8" t="s">
        <v>157</v>
      </c>
      <c r="D8" s="1" t="s">
        <v>72</v>
      </c>
      <c r="E8" t="str">
        <f t="shared" si="0"/>
        <v>Mumbai</v>
      </c>
      <c r="F8" t="str">
        <f t="shared" si="1"/>
        <v>092</v>
      </c>
      <c r="G8" t="str">
        <f t="shared" si="2"/>
        <v>bai -40</v>
      </c>
    </row>
    <row r="9" spans="1:7" x14ac:dyDescent="0.25">
      <c r="A9" t="s">
        <v>158</v>
      </c>
      <c r="D9" s="1" t="s">
        <v>73</v>
      </c>
      <c r="E9" t="str">
        <f t="shared" si="0"/>
        <v>Mumbai</v>
      </c>
      <c r="F9" t="str">
        <f t="shared" si="1"/>
        <v>093</v>
      </c>
      <c r="G9" t="str">
        <f t="shared" si="2"/>
        <v>bai -40</v>
      </c>
    </row>
    <row r="10" spans="1:7" x14ac:dyDescent="0.25">
      <c r="A10" t="s">
        <v>159</v>
      </c>
      <c r="D10" s="1" t="s">
        <v>74</v>
      </c>
      <c r="E10" t="str">
        <f t="shared" si="0"/>
        <v>Mumbai</v>
      </c>
      <c r="F10" t="str">
        <f t="shared" si="1"/>
        <v>094</v>
      </c>
      <c r="G10" t="str">
        <f t="shared" si="2"/>
        <v>bai -40</v>
      </c>
    </row>
    <row r="11" spans="1:7" x14ac:dyDescent="0.25">
      <c r="A11" t="s">
        <v>160</v>
      </c>
      <c r="D11" s="1" t="s">
        <v>75</v>
      </c>
      <c r="E11" t="str">
        <f t="shared" si="0"/>
        <v>Mumbai</v>
      </c>
      <c r="F11" t="str">
        <f t="shared" si="1"/>
        <v>095</v>
      </c>
      <c r="G11" t="str">
        <f t="shared" si="2"/>
        <v>bai -40</v>
      </c>
    </row>
    <row r="12" spans="1:7" x14ac:dyDescent="0.25">
      <c r="A12" t="s">
        <v>161</v>
      </c>
      <c r="D12" s="1" t="s">
        <v>76</v>
      </c>
      <c r="E12" t="str">
        <f t="shared" si="0"/>
        <v>Mumbai</v>
      </c>
      <c r="F12" t="str">
        <f t="shared" si="1"/>
        <v>096</v>
      </c>
      <c r="G12" t="str">
        <f t="shared" si="2"/>
        <v>bai -40</v>
      </c>
    </row>
    <row r="13" spans="1:7" x14ac:dyDescent="0.25">
      <c r="A13" t="s">
        <v>162</v>
      </c>
      <c r="D13" s="1" t="s">
        <v>77</v>
      </c>
      <c r="E13" t="str">
        <f t="shared" si="0"/>
        <v>Mumbai</v>
      </c>
      <c r="F13" t="str">
        <f t="shared" si="1"/>
        <v>097</v>
      </c>
      <c r="G13" t="str">
        <f t="shared" si="2"/>
        <v>bai -40</v>
      </c>
    </row>
    <row r="14" spans="1:7" x14ac:dyDescent="0.25">
      <c r="A14" t="s">
        <v>163</v>
      </c>
    </row>
    <row r="15" spans="1:7" x14ac:dyDescent="0.25">
      <c r="A15" t="s">
        <v>164</v>
      </c>
    </row>
    <row r="16" spans="1:7" x14ac:dyDescent="0.25">
      <c r="A16" t="s">
        <v>165</v>
      </c>
    </row>
    <row r="17" spans="1:1" x14ac:dyDescent="0.25">
      <c r="A17" t="s">
        <v>166</v>
      </c>
    </row>
    <row r="18" spans="1:1" x14ac:dyDescent="0.25">
      <c r="A18" t="s">
        <v>167</v>
      </c>
    </row>
    <row r="19" spans="1:1" x14ac:dyDescent="0.25">
      <c r="A19" t="s">
        <v>168</v>
      </c>
    </row>
    <row r="20" spans="1:1" x14ac:dyDescent="0.25">
      <c r="A20" t="s">
        <v>169</v>
      </c>
    </row>
    <row r="21" spans="1:1" x14ac:dyDescent="0.25">
      <c r="A21" t="s">
        <v>170</v>
      </c>
    </row>
    <row r="22" spans="1:1" x14ac:dyDescent="0.25">
      <c r="A22" t="s">
        <v>171</v>
      </c>
    </row>
    <row r="23" spans="1:1" x14ac:dyDescent="0.25">
      <c r="A23" t="s">
        <v>172</v>
      </c>
    </row>
    <row r="24" spans="1:1" x14ac:dyDescent="0.25">
      <c r="A24" t="s">
        <v>173</v>
      </c>
    </row>
    <row r="25" spans="1:1" x14ac:dyDescent="0.25">
      <c r="A25" t="s">
        <v>174</v>
      </c>
    </row>
    <row r="26" spans="1:1" x14ac:dyDescent="0.25">
      <c r="A26" t="s">
        <v>175</v>
      </c>
    </row>
    <row r="27" spans="1:1" x14ac:dyDescent="0.25">
      <c r="A27" t="s">
        <v>176</v>
      </c>
    </row>
    <row r="28" spans="1:1" x14ac:dyDescent="0.25">
      <c r="A28" t="s">
        <v>177</v>
      </c>
    </row>
    <row r="29" spans="1:1" x14ac:dyDescent="0.25">
      <c r="A29" t="s">
        <v>178</v>
      </c>
    </row>
    <row r="30" spans="1:1" x14ac:dyDescent="0.25">
      <c r="A30" t="s">
        <v>179</v>
      </c>
    </row>
    <row r="31" spans="1:1" x14ac:dyDescent="0.25">
      <c r="A31" t="s">
        <v>180</v>
      </c>
    </row>
    <row r="32" spans="1:1" x14ac:dyDescent="0.25">
      <c r="A32" t="s">
        <v>181</v>
      </c>
    </row>
    <row r="33" spans="1:1" x14ac:dyDescent="0.25">
      <c r="A33" t="s">
        <v>182</v>
      </c>
    </row>
    <row r="34" spans="1:1" x14ac:dyDescent="0.25">
      <c r="A34" t="s">
        <v>183</v>
      </c>
    </row>
    <row r="35" spans="1:1" x14ac:dyDescent="0.25">
      <c r="A35" t="s">
        <v>184</v>
      </c>
    </row>
    <row r="36" spans="1:1" x14ac:dyDescent="0.25">
      <c r="A36" t="s">
        <v>185</v>
      </c>
    </row>
    <row r="37" spans="1:1" x14ac:dyDescent="0.25">
      <c r="A37" t="s">
        <v>186</v>
      </c>
    </row>
    <row r="38" spans="1:1" x14ac:dyDescent="0.25">
      <c r="A38" t="s">
        <v>187</v>
      </c>
    </row>
    <row r="39" spans="1:1" x14ac:dyDescent="0.25">
      <c r="A39" t="s">
        <v>188</v>
      </c>
    </row>
    <row r="40" spans="1:1" x14ac:dyDescent="0.25">
      <c r="A40" t="s">
        <v>189</v>
      </c>
    </row>
    <row r="41" spans="1:1" x14ac:dyDescent="0.25">
      <c r="A41" t="s">
        <v>190</v>
      </c>
    </row>
    <row r="42" spans="1:1" x14ac:dyDescent="0.25">
      <c r="A42" t="s">
        <v>191</v>
      </c>
    </row>
    <row r="43" spans="1:1" x14ac:dyDescent="0.25">
      <c r="A43" t="s">
        <v>192</v>
      </c>
    </row>
    <row r="44" spans="1:1" x14ac:dyDescent="0.25">
      <c r="A44" t="s">
        <v>193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5"/>
  <sheetViews>
    <sheetView zoomScale="145" zoomScaleNormal="145" workbookViewId="0">
      <selection activeCell="G5" sqref="G5"/>
    </sheetView>
  </sheetViews>
  <sheetFormatPr defaultRowHeight="15" x14ac:dyDescent="0.25"/>
  <cols>
    <col min="1" max="1" width="15.28515625" bestFit="1" customWidth="1"/>
    <col min="2" max="4" width="15.28515625" customWidth="1"/>
  </cols>
  <sheetData>
    <row r="1" spans="1:7" x14ac:dyDescent="0.25">
      <c r="A1" t="s">
        <v>294</v>
      </c>
      <c r="B1" t="s">
        <v>295</v>
      </c>
      <c r="C1" t="s">
        <v>296</v>
      </c>
      <c r="E1" s="12" t="s">
        <v>136</v>
      </c>
      <c r="F1" s="12" t="s">
        <v>134</v>
      </c>
      <c r="G1" s="12" t="s">
        <v>135</v>
      </c>
    </row>
    <row r="2" spans="1:7" x14ac:dyDescent="0.25">
      <c r="A2" t="s">
        <v>194</v>
      </c>
      <c r="B2" t="s">
        <v>297</v>
      </c>
      <c r="C2" t="s">
        <v>195</v>
      </c>
      <c r="E2" t="s">
        <v>117</v>
      </c>
      <c r="F2" t="s">
        <v>316</v>
      </c>
      <c r="G2">
        <v>986</v>
      </c>
    </row>
    <row r="3" spans="1:7" x14ac:dyDescent="0.25">
      <c r="A3" t="s">
        <v>151</v>
      </c>
      <c r="B3" t="s">
        <v>244</v>
      </c>
      <c r="C3" t="s">
        <v>268</v>
      </c>
      <c r="E3" t="s">
        <v>118</v>
      </c>
      <c r="F3" t="s">
        <v>317</v>
      </c>
      <c r="G3">
        <v>987</v>
      </c>
    </row>
    <row r="4" spans="1:7" x14ac:dyDescent="0.25">
      <c r="A4" t="s">
        <v>152</v>
      </c>
      <c r="B4" t="s">
        <v>245</v>
      </c>
      <c r="C4" t="s">
        <v>269</v>
      </c>
      <c r="E4" t="s">
        <v>119</v>
      </c>
      <c r="F4">
        <v>985</v>
      </c>
      <c r="G4" t="s">
        <v>325</v>
      </c>
    </row>
    <row r="5" spans="1:7" x14ac:dyDescent="0.25">
      <c r="A5" t="s">
        <v>153</v>
      </c>
      <c r="B5" t="s">
        <v>246</v>
      </c>
      <c r="C5" t="s">
        <v>270</v>
      </c>
      <c r="E5" t="s">
        <v>120</v>
      </c>
      <c r="F5">
        <v>748</v>
      </c>
      <c r="G5" t="s">
        <v>326</v>
      </c>
    </row>
    <row r="6" spans="1:7" x14ac:dyDescent="0.25">
      <c r="A6" t="s">
        <v>154</v>
      </c>
      <c r="B6" t="s">
        <v>245</v>
      </c>
      <c r="C6" t="s">
        <v>256</v>
      </c>
      <c r="E6" t="s">
        <v>121</v>
      </c>
      <c r="F6" t="s">
        <v>318</v>
      </c>
      <c r="G6">
        <v>854</v>
      </c>
    </row>
    <row r="7" spans="1:7" x14ac:dyDescent="0.25">
      <c r="A7" t="s">
        <v>155</v>
      </c>
      <c r="B7" t="s">
        <v>247</v>
      </c>
      <c r="C7" t="s">
        <v>271</v>
      </c>
      <c r="E7" t="s">
        <v>122</v>
      </c>
      <c r="F7" t="s">
        <v>319</v>
      </c>
      <c r="G7">
        <v>965</v>
      </c>
    </row>
    <row r="8" spans="1:7" x14ac:dyDescent="0.25">
      <c r="A8" t="s">
        <v>156</v>
      </c>
      <c r="B8" t="s">
        <v>248</v>
      </c>
      <c r="C8" t="s">
        <v>272</v>
      </c>
      <c r="E8" t="s">
        <v>123</v>
      </c>
      <c r="F8">
        <v>655</v>
      </c>
      <c r="G8" t="s">
        <v>327</v>
      </c>
    </row>
    <row r="9" spans="1:7" x14ac:dyDescent="0.25">
      <c r="A9" t="s">
        <v>157</v>
      </c>
      <c r="B9" t="s">
        <v>249</v>
      </c>
      <c r="C9" t="s">
        <v>273</v>
      </c>
      <c r="E9" t="s">
        <v>124</v>
      </c>
      <c r="F9">
        <v>321</v>
      </c>
      <c r="G9" t="s">
        <v>328</v>
      </c>
    </row>
    <row r="10" spans="1:7" x14ac:dyDescent="0.25">
      <c r="A10" t="s">
        <v>158</v>
      </c>
      <c r="B10" t="s">
        <v>250</v>
      </c>
      <c r="C10" t="s">
        <v>274</v>
      </c>
      <c r="E10" t="s">
        <v>125</v>
      </c>
      <c r="F10" t="s">
        <v>320</v>
      </c>
      <c r="G10">
        <v>955</v>
      </c>
    </row>
    <row r="11" spans="1:7" x14ac:dyDescent="0.25">
      <c r="A11" t="s">
        <v>159</v>
      </c>
      <c r="B11" t="s">
        <v>251</v>
      </c>
      <c r="C11" t="s">
        <v>275</v>
      </c>
      <c r="E11" t="s">
        <v>126</v>
      </c>
      <c r="F11">
        <v>965</v>
      </c>
      <c r="G11" t="s">
        <v>329</v>
      </c>
    </row>
    <row r="12" spans="1:7" x14ac:dyDescent="0.25">
      <c r="A12" t="s">
        <v>160</v>
      </c>
      <c r="B12" t="s">
        <v>252</v>
      </c>
      <c r="C12" t="s">
        <v>276</v>
      </c>
      <c r="E12" t="s">
        <v>127</v>
      </c>
      <c r="F12" t="s">
        <v>321</v>
      </c>
      <c r="G12">
        <v>965</v>
      </c>
    </row>
    <row r="13" spans="1:7" x14ac:dyDescent="0.25">
      <c r="A13" t="s">
        <v>161</v>
      </c>
      <c r="B13" t="s">
        <v>253</v>
      </c>
      <c r="C13" t="s">
        <v>277</v>
      </c>
      <c r="E13" t="s">
        <v>128</v>
      </c>
      <c r="F13">
        <v>857</v>
      </c>
      <c r="G13" t="s">
        <v>330</v>
      </c>
    </row>
    <row r="14" spans="1:7" x14ac:dyDescent="0.25">
      <c r="A14" t="s">
        <v>162</v>
      </c>
      <c r="B14" t="s">
        <v>254</v>
      </c>
      <c r="C14" t="s">
        <v>278</v>
      </c>
      <c r="E14" t="s">
        <v>129</v>
      </c>
      <c r="F14">
        <v>965</v>
      </c>
      <c r="G14" t="s">
        <v>331</v>
      </c>
    </row>
    <row r="15" spans="1:7" x14ac:dyDescent="0.25">
      <c r="A15" t="s">
        <v>163</v>
      </c>
      <c r="B15" t="s">
        <v>255</v>
      </c>
      <c r="C15" t="s">
        <v>279</v>
      </c>
      <c r="E15" t="s">
        <v>130</v>
      </c>
      <c r="F15">
        <v>147</v>
      </c>
      <c r="G15" t="s">
        <v>332</v>
      </c>
    </row>
    <row r="16" spans="1:7" x14ac:dyDescent="0.25">
      <c r="A16" t="s">
        <v>164</v>
      </c>
      <c r="B16" t="s">
        <v>256</v>
      </c>
      <c r="C16" t="s">
        <v>280</v>
      </c>
      <c r="E16" t="s">
        <v>131</v>
      </c>
      <c r="F16" t="s">
        <v>322</v>
      </c>
      <c r="G16">
        <v>854</v>
      </c>
    </row>
    <row r="17" spans="1:7" x14ac:dyDescent="0.25">
      <c r="A17" t="s">
        <v>165</v>
      </c>
      <c r="B17" t="s">
        <v>257</v>
      </c>
      <c r="C17" t="s">
        <v>281</v>
      </c>
      <c r="E17" t="s">
        <v>132</v>
      </c>
      <c r="F17" t="s">
        <v>323</v>
      </c>
      <c r="G17">
        <v>632</v>
      </c>
    </row>
    <row r="18" spans="1:7" x14ac:dyDescent="0.25">
      <c r="A18" t="s">
        <v>166</v>
      </c>
      <c r="B18" t="s">
        <v>258</v>
      </c>
      <c r="C18" t="s">
        <v>282</v>
      </c>
      <c r="E18" t="s">
        <v>133</v>
      </c>
      <c r="F18" t="s">
        <v>324</v>
      </c>
      <c r="G18">
        <v>974</v>
      </c>
    </row>
    <row r="19" spans="1:7" x14ac:dyDescent="0.25">
      <c r="A19" t="s">
        <v>167</v>
      </c>
      <c r="B19" t="s">
        <v>259</v>
      </c>
      <c r="C19" t="s">
        <v>271</v>
      </c>
    </row>
    <row r="20" spans="1:7" x14ac:dyDescent="0.25">
      <c r="A20" t="s">
        <v>168</v>
      </c>
      <c r="B20" t="s">
        <v>246</v>
      </c>
      <c r="C20" t="s">
        <v>283</v>
      </c>
    </row>
    <row r="21" spans="1:7" x14ac:dyDescent="0.25">
      <c r="A21" t="s">
        <v>169</v>
      </c>
      <c r="B21" t="s">
        <v>260</v>
      </c>
      <c r="C21" t="s">
        <v>284</v>
      </c>
    </row>
    <row r="22" spans="1:7" x14ac:dyDescent="0.25">
      <c r="A22" t="s">
        <v>170</v>
      </c>
      <c r="B22" t="s">
        <v>246</v>
      </c>
      <c r="C22" t="s">
        <v>285</v>
      </c>
    </row>
    <row r="23" spans="1:7" x14ac:dyDescent="0.25">
      <c r="A23" t="s">
        <v>171</v>
      </c>
      <c r="B23" t="s">
        <v>261</v>
      </c>
      <c r="C23" t="s">
        <v>286</v>
      </c>
    </row>
    <row r="24" spans="1:7" x14ac:dyDescent="0.25">
      <c r="A24" t="s">
        <v>172</v>
      </c>
      <c r="B24" t="s">
        <v>262</v>
      </c>
      <c r="C24" t="s">
        <v>287</v>
      </c>
    </row>
    <row r="25" spans="1:7" x14ac:dyDescent="0.25">
      <c r="A25" t="s">
        <v>173</v>
      </c>
      <c r="B25" t="s">
        <v>263</v>
      </c>
      <c r="C25" t="s">
        <v>288</v>
      </c>
    </row>
    <row r="26" spans="1:7" x14ac:dyDescent="0.25">
      <c r="A26" t="s">
        <v>174</v>
      </c>
      <c r="B26" t="s">
        <v>248</v>
      </c>
      <c r="C26" t="s">
        <v>289</v>
      </c>
    </row>
    <row r="27" spans="1:7" x14ac:dyDescent="0.25">
      <c r="A27" t="s">
        <v>175</v>
      </c>
      <c r="B27" t="s">
        <v>264</v>
      </c>
      <c r="C27" t="s">
        <v>290</v>
      </c>
    </row>
    <row r="28" spans="1:7" x14ac:dyDescent="0.25">
      <c r="A28" t="s">
        <v>176</v>
      </c>
      <c r="B28" t="s">
        <v>265</v>
      </c>
      <c r="C28" t="s">
        <v>291</v>
      </c>
    </row>
    <row r="29" spans="1:7" x14ac:dyDescent="0.25">
      <c r="A29" t="s">
        <v>177</v>
      </c>
      <c r="B29" t="s">
        <v>266</v>
      </c>
      <c r="C29" t="s">
        <v>292</v>
      </c>
    </row>
    <row r="30" spans="1:7" x14ac:dyDescent="0.25">
      <c r="A30" t="s">
        <v>178</v>
      </c>
      <c r="B30" t="s">
        <v>267</v>
      </c>
      <c r="C30" t="s">
        <v>293</v>
      </c>
    </row>
    <row r="31" spans="1:7" x14ac:dyDescent="0.25">
      <c r="A31" t="s">
        <v>179</v>
      </c>
      <c r="B31" t="s">
        <v>248</v>
      </c>
      <c r="C31" t="s">
        <v>302</v>
      </c>
    </row>
    <row r="32" spans="1:7" x14ac:dyDescent="0.25">
      <c r="A32" t="s">
        <v>180</v>
      </c>
      <c r="B32" t="s">
        <v>255</v>
      </c>
      <c r="C32" t="s">
        <v>303</v>
      </c>
    </row>
    <row r="33" spans="1:3" x14ac:dyDescent="0.25">
      <c r="A33" t="s">
        <v>181</v>
      </c>
      <c r="B33" t="s">
        <v>298</v>
      </c>
      <c r="C33" t="s">
        <v>304</v>
      </c>
    </row>
    <row r="34" spans="1:3" x14ac:dyDescent="0.25">
      <c r="A34" t="s">
        <v>182</v>
      </c>
      <c r="B34" t="s">
        <v>299</v>
      </c>
      <c r="C34" t="s">
        <v>305</v>
      </c>
    </row>
    <row r="35" spans="1:3" x14ac:dyDescent="0.25">
      <c r="A35" t="s">
        <v>183</v>
      </c>
      <c r="B35" t="s">
        <v>248</v>
      </c>
      <c r="C35" t="s">
        <v>306</v>
      </c>
    </row>
    <row r="36" spans="1:3" x14ac:dyDescent="0.25">
      <c r="A36" t="s">
        <v>184</v>
      </c>
      <c r="B36" t="s">
        <v>252</v>
      </c>
      <c r="C36" t="s">
        <v>307</v>
      </c>
    </row>
    <row r="37" spans="1:3" x14ac:dyDescent="0.25">
      <c r="A37" t="s">
        <v>185</v>
      </c>
      <c r="B37" t="s">
        <v>246</v>
      </c>
      <c r="C37" t="s">
        <v>308</v>
      </c>
    </row>
    <row r="38" spans="1:3" x14ac:dyDescent="0.25">
      <c r="A38" t="s">
        <v>186</v>
      </c>
      <c r="B38" t="s">
        <v>300</v>
      </c>
      <c r="C38" t="s">
        <v>309</v>
      </c>
    </row>
    <row r="39" spans="1:3" x14ac:dyDescent="0.25">
      <c r="A39" t="s">
        <v>187</v>
      </c>
      <c r="B39" t="s">
        <v>266</v>
      </c>
      <c r="C39" t="s">
        <v>310</v>
      </c>
    </row>
    <row r="40" spans="1:3" x14ac:dyDescent="0.25">
      <c r="A40" t="s">
        <v>188</v>
      </c>
      <c r="B40" t="s">
        <v>252</v>
      </c>
      <c r="C40" t="s">
        <v>311</v>
      </c>
    </row>
    <row r="41" spans="1:3" x14ac:dyDescent="0.25">
      <c r="A41" t="s">
        <v>189</v>
      </c>
      <c r="B41" t="s">
        <v>248</v>
      </c>
      <c r="C41" t="s">
        <v>312</v>
      </c>
    </row>
    <row r="42" spans="1:3" x14ac:dyDescent="0.25">
      <c r="A42" t="s">
        <v>190</v>
      </c>
      <c r="B42" t="s">
        <v>248</v>
      </c>
      <c r="C42" t="s">
        <v>313</v>
      </c>
    </row>
    <row r="43" spans="1:3" x14ac:dyDescent="0.25">
      <c r="A43" t="s">
        <v>191</v>
      </c>
      <c r="B43" t="s">
        <v>301</v>
      </c>
      <c r="C43" t="s">
        <v>270</v>
      </c>
    </row>
    <row r="44" spans="1:3" x14ac:dyDescent="0.25">
      <c r="A44" t="s">
        <v>192</v>
      </c>
      <c r="B44" t="s">
        <v>252</v>
      </c>
      <c r="C44" t="s">
        <v>314</v>
      </c>
    </row>
    <row r="45" spans="1:3" x14ac:dyDescent="0.25">
      <c r="A45" t="s">
        <v>193</v>
      </c>
      <c r="B45" t="s">
        <v>245</v>
      </c>
      <c r="C45" t="s">
        <v>315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6"/>
  <sheetViews>
    <sheetView zoomScale="235" zoomScaleNormal="235" workbookViewId="0">
      <selection activeCell="B7" sqref="B7"/>
    </sheetView>
  </sheetViews>
  <sheetFormatPr defaultRowHeight="15" x14ac:dyDescent="0.25"/>
  <cols>
    <col min="1" max="1" width="19.5703125" customWidth="1"/>
    <col min="2" max="2" width="20.28515625" customWidth="1"/>
  </cols>
  <sheetData>
    <row r="1" spans="1:5" ht="21" customHeight="1" x14ac:dyDescent="0.25">
      <c r="A1" s="61" t="s">
        <v>107</v>
      </c>
      <c r="B1" s="62"/>
      <c r="C1" s="18"/>
      <c r="D1" s="18"/>
      <c r="E1" s="18"/>
    </row>
    <row r="2" spans="1:5" x14ac:dyDescent="0.25">
      <c r="A2" s="19" t="s">
        <v>106</v>
      </c>
      <c r="B2" s="19" t="s">
        <v>105</v>
      </c>
    </row>
    <row r="3" spans="1:5" ht="17.25" customHeight="1" x14ac:dyDescent="0.25">
      <c r="A3" s="20" t="s">
        <v>104</v>
      </c>
      <c r="B3" s="20" t="str">
        <f>SUBSTITUTE(A3,"-","")</f>
        <v>9812345678</v>
      </c>
    </row>
    <row r="4" spans="1:5" x14ac:dyDescent="0.25">
      <c r="A4" s="20" t="s">
        <v>103</v>
      </c>
      <c r="B4" s="20" t="str">
        <f>SUBSTITUTE(A4,",","-")</f>
        <v>MUMBAI- 400086</v>
      </c>
    </row>
    <row r="5" spans="1:5" x14ac:dyDescent="0.25">
      <c r="A5" s="20" t="s">
        <v>102</v>
      </c>
      <c r="B5" s="20" t="str">
        <f>SUBSTITUTE(A5,"-","_")</f>
        <v>9812_12_12_12</v>
      </c>
    </row>
    <row r="6" spans="1:5" x14ac:dyDescent="0.25">
      <c r="A6" s="20" t="s">
        <v>101</v>
      </c>
      <c r="B6" s="20" t="str">
        <f>SUBSTITUTE(A6,","," ")</f>
        <v>DELHI 400001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5"/>
  <sheetViews>
    <sheetView tabSelected="1" zoomScale="115" zoomScaleNormal="190" workbookViewId="0">
      <selection activeCell="H15" sqref="H15"/>
    </sheetView>
  </sheetViews>
  <sheetFormatPr defaultRowHeight="15" x14ac:dyDescent="0.25"/>
  <cols>
    <col min="1" max="1" width="11.140625" customWidth="1"/>
    <col min="2" max="2" width="16" customWidth="1"/>
    <col min="3" max="3" width="11.5703125" bestFit="1" customWidth="1"/>
    <col min="4" max="4" width="15.140625" customWidth="1"/>
    <col min="5" max="5" width="22.5703125" bestFit="1" customWidth="1"/>
    <col min="6" max="6" width="12" bestFit="1" customWidth="1"/>
    <col min="7" max="7" width="10.42578125" customWidth="1"/>
    <col min="8" max="9" width="14" bestFit="1" customWidth="1"/>
    <col min="11" max="11" width="14" bestFit="1" customWidth="1"/>
    <col min="12" max="12" width="14.28515625" bestFit="1" customWidth="1"/>
    <col min="14" max="14" width="16" bestFit="1" customWidth="1"/>
    <col min="15" max="15" width="15.140625" customWidth="1"/>
  </cols>
  <sheetData>
    <row r="1" spans="1:15" ht="18.75" x14ac:dyDescent="0.4">
      <c r="A1" s="14" t="s">
        <v>84</v>
      </c>
      <c r="B1" s="53" t="s">
        <v>100</v>
      </c>
      <c r="C1" s="54"/>
      <c r="F1" s="13" t="s">
        <v>87</v>
      </c>
      <c r="G1" s="14" t="s">
        <v>99</v>
      </c>
      <c r="H1" s="14" t="s">
        <v>98</v>
      </c>
      <c r="I1" s="14" t="s">
        <v>83</v>
      </c>
      <c r="K1" s="55" t="s">
        <v>97</v>
      </c>
      <c r="L1" s="56"/>
      <c r="N1" s="57" t="s">
        <v>96</v>
      </c>
      <c r="O1" s="57"/>
    </row>
    <row r="2" spans="1:15" x14ac:dyDescent="0.25">
      <c r="B2" s="1" t="s">
        <v>95</v>
      </c>
      <c r="E2" s="12" t="s">
        <v>94</v>
      </c>
      <c r="F2" s="1">
        <v>1</v>
      </c>
      <c r="G2" s="7">
        <f>IPMT($C$3/12,F2,$C$5,-$C$4)</f>
        <v>833.33333333333337</v>
      </c>
      <c r="H2" s="7">
        <f>PPMT($C$3,F2,$C$5,-$C$4)</f>
        <v>6274.5394882511609</v>
      </c>
      <c r="I2" s="7">
        <f>PMT($C$3,$C$5,-$C$4)</f>
        <v>16274.539488251161</v>
      </c>
      <c r="K2" s="1" t="s">
        <v>82</v>
      </c>
      <c r="L2" s="52">
        <f>PV(L3,L5,-L4)</f>
        <v>199343.14594370543</v>
      </c>
      <c r="N2" s="1"/>
      <c r="O2" s="1"/>
    </row>
    <row r="3" spans="1:15" x14ac:dyDescent="0.25">
      <c r="A3" s="11" t="s">
        <v>93</v>
      </c>
      <c r="B3" s="1" t="s">
        <v>91</v>
      </c>
      <c r="C3" s="10">
        <v>0.1</v>
      </c>
      <c r="D3" s="1" t="s">
        <v>92</v>
      </c>
      <c r="E3" s="1" t="s">
        <v>47</v>
      </c>
      <c r="F3" s="1">
        <v>2</v>
      </c>
      <c r="G3" s="7">
        <f t="shared" ref="G3:G11" si="0">IPMT($C$3/12,F3,$C$5,-$C$4)</f>
        <v>753.07746028662052</v>
      </c>
      <c r="H3" s="7">
        <f t="shared" ref="H3:H11" si="1">PPMT($C$3,F3,$C$5,-$C$4)</f>
        <v>6901.9934370762776</v>
      </c>
      <c r="I3" s="7">
        <f t="shared" ref="I3:I11" si="2">PMT($C$3,$C$5,-$C$4)</f>
        <v>16274.539488251161</v>
      </c>
      <c r="K3" s="1" t="s">
        <v>91</v>
      </c>
      <c r="L3" s="10">
        <v>0.1</v>
      </c>
      <c r="N3" s="1" t="s">
        <v>91</v>
      </c>
      <c r="O3" s="10">
        <v>0.03</v>
      </c>
    </row>
    <row r="4" spans="1:15" x14ac:dyDescent="0.25">
      <c r="B4" s="11" t="s">
        <v>82</v>
      </c>
      <c r="C4" s="1">
        <v>100000</v>
      </c>
      <c r="D4" s="15" t="s">
        <v>90</v>
      </c>
      <c r="E4" s="1" t="s">
        <v>89</v>
      </c>
      <c r="F4" s="1">
        <v>3</v>
      </c>
      <c r="G4" s="7">
        <f t="shared" si="0"/>
        <v>672.15278829785188</v>
      </c>
      <c r="H4" s="7">
        <f t="shared" si="1"/>
        <v>7592.1927807839056</v>
      </c>
      <c r="I4" s="7">
        <f t="shared" si="2"/>
        <v>16274.539488251161</v>
      </c>
      <c r="K4" s="1" t="s">
        <v>83</v>
      </c>
      <c r="L4" s="1">
        <v>20000</v>
      </c>
      <c r="N4" s="1" t="s">
        <v>83</v>
      </c>
      <c r="O4" s="1">
        <v>5500</v>
      </c>
    </row>
    <row r="5" spans="1:15" x14ac:dyDescent="0.25">
      <c r="B5" s="11" t="s">
        <v>88</v>
      </c>
      <c r="C5" s="1">
        <v>10</v>
      </c>
      <c r="D5" s="15" t="s">
        <v>87</v>
      </c>
      <c r="E5" s="1" t="s">
        <v>86</v>
      </c>
      <c r="F5" s="1">
        <v>4</v>
      </c>
      <c r="G5" s="7">
        <f t="shared" si="0"/>
        <v>590.55374404251017</v>
      </c>
      <c r="H5" s="7">
        <f t="shared" si="1"/>
        <v>8351.4120588622955</v>
      </c>
      <c r="I5" s="7">
        <f t="shared" si="2"/>
        <v>16274.539488251161</v>
      </c>
      <c r="K5" s="1" t="s">
        <v>85</v>
      </c>
      <c r="L5" s="1">
        <v>60</v>
      </c>
      <c r="N5" s="1" t="s">
        <v>85</v>
      </c>
      <c r="O5" s="1">
        <v>12</v>
      </c>
    </row>
    <row r="6" spans="1:15" x14ac:dyDescent="0.25">
      <c r="C6" s="1"/>
      <c r="F6" s="1">
        <v>5</v>
      </c>
      <c r="G6" s="7">
        <f t="shared" si="0"/>
        <v>508.2747077517073</v>
      </c>
      <c r="H6" s="7">
        <f t="shared" si="1"/>
        <v>9186.5532647485252</v>
      </c>
      <c r="I6" s="7">
        <f t="shared" si="2"/>
        <v>16274.539488251161</v>
      </c>
    </row>
    <row r="7" spans="1:15" x14ac:dyDescent="0.25">
      <c r="A7" s="1" t="s">
        <v>84</v>
      </c>
      <c r="B7" s="11" t="s">
        <v>83</v>
      </c>
      <c r="C7" s="16"/>
      <c r="F7" s="1">
        <v>6</v>
      </c>
      <c r="G7" s="7">
        <f t="shared" si="0"/>
        <v>425.31001282514779</v>
      </c>
      <c r="H7" s="7">
        <f t="shared" si="1"/>
        <v>10105.208591223378</v>
      </c>
      <c r="I7" s="7">
        <f t="shared" si="2"/>
        <v>16274.539488251161</v>
      </c>
      <c r="K7" s="1" t="s">
        <v>82</v>
      </c>
      <c r="L7" s="52">
        <f>PV(L3,L5,-L4)</f>
        <v>199343.14594370543</v>
      </c>
      <c r="N7" s="1" t="s">
        <v>81</v>
      </c>
      <c r="O7" s="9">
        <f>FV(O3,O5,-O4)</f>
        <v>78056.16258846609</v>
      </c>
    </row>
    <row r="8" spans="1:15" x14ac:dyDescent="0.25">
      <c r="A8" s="1" t="s">
        <v>80</v>
      </c>
      <c r="B8" s="11" t="s">
        <v>79</v>
      </c>
      <c r="C8" s="1"/>
      <c r="E8" s="6"/>
      <c r="F8" s="1">
        <v>7</v>
      </c>
      <c r="G8" s="7">
        <f t="shared" si="0"/>
        <v>341.65394544086683</v>
      </c>
      <c r="H8" s="7">
        <f t="shared" si="1"/>
        <v>11115.729450345716</v>
      </c>
      <c r="I8" s="7">
        <f t="shared" si="2"/>
        <v>16274.539488251161</v>
      </c>
    </row>
    <row r="9" spans="1:15" x14ac:dyDescent="0.25">
      <c r="A9" s="1" t="s">
        <v>39</v>
      </c>
      <c r="B9" s="11" t="s">
        <v>78</v>
      </c>
      <c r="C9" s="7"/>
      <c r="E9" s="8"/>
      <c r="F9" s="1">
        <v>8</v>
      </c>
      <c r="G9" s="7">
        <f t="shared" si="0"/>
        <v>257.30074416171698</v>
      </c>
      <c r="H9" s="7">
        <f t="shared" si="1"/>
        <v>12227.302395380288</v>
      </c>
      <c r="I9" s="7">
        <f t="shared" si="2"/>
        <v>16274.539488251161</v>
      </c>
    </row>
    <row r="10" spans="1:15" x14ac:dyDescent="0.25">
      <c r="F10" s="1">
        <v>9</v>
      </c>
      <c r="G10" s="7">
        <f t="shared" si="0"/>
        <v>172.24459953857416</v>
      </c>
      <c r="H10" s="7">
        <f t="shared" si="1"/>
        <v>13450.032634918316</v>
      </c>
      <c r="I10" s="7">
        <f t="shared" si="2"/>
        <v>16274.539488251161</v>
      </c>
    </row>
    <row r="11" spans="1:15" x14ac:dyDescent="0.25">
      <c r="C11" s="6"/>
      <c r="F11" s="1">
        <v>10</v>
      </c>
      <c r="G11" s="7">
        <f t="shared" si="0"/>
        <v>86.47965371023848</v>
      </c>
      <c r="H11" s="7">
        <f t="shared" si="1"/>
        <v>14795.035898410146</v>
      </c>
      <c r="I11" s="7">
        <f t="shared" si="2"/>
        <v>16274.539488251161</v>
      </c>
    </row>
    <row r="12" spans="1:15" x14ac:dyDescent="0.25">
      <c r="F12" s="1"/>
      <c r="G12" s="7">
        <f>SUM(G2:G11)</f>
        <v>4640.3809893885682</v>
      </c>
      <c r="H12" s="7">
        <f>SUM(H2:H11)</f>
        <v>100000</v>
      </c>
      <c r="I12" s="7">
        <f>SUM(I2:I11)</f>
        <v>162745.39488251158</v>
      </c>
    </row>
    <row r="14" spans="1:15" x14ac:dyDescent="0.25">
      <c r="H14" s="17">
        <f>I12-H12</f>
        <v>62745.39488251158</v>
      </c>
    </row>
    <row r="18" spans="4:4" x14ac:dyDescent="0.25">
      <c r="D18" s="41"/>
    </row>
    <row r="20" spans="4:4" x14ac:dyDescent="0.25">
      <c r="D20" s="42"/>
    </row>
    <row r="24" spans="4:4" x14ac:dyDescent="0.25">
      <c r="D24" s="24"/>
    </row>
    <row r="25" spans="4:4" x14ac:dyDescent="0.25">
      <c r="D25" s="42"/>
    </row>
  </sheetData>
  <mergeCells count="3">
    <mergeCell ref="B1:C1"/>
    <mergeCell ref="K1:L1"/>
    <mergeCell ref="N1:O1"/>
  </mergeCells>
  <pageMargins left="0.7" right="0.7" top="0.75" bottom="0.75" header="0.3" footer="0.3"/>
  <pageSetup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0CA7-072E-401D-B6DB-B596C19532A0}">
  <dimension ref="A1:F40"/>
  <sheetViews>
    <sheetView topLeftCell="A19" zoomScale="175" zoomScaleNormal="175" workbookViewId="0">
      <selection activeCell="A6" sqref="A6"/>
    </sheetView>
  </sheetViews>
  <sheetFormatPr defaultRowHeight="15" x14ac:dyDescent="0.25"/>
  <cols>
    <col min="1" max="3" width="15.42578125" bestFit="1" customWidth="1"/>
    <col min="4" max="4" width="10.7109375" bestFit="1" customWidth="1"/>
  </cols>
  <sheetData>
    <row r="1" spans="1:4" x14ac:dyDescent="0.25">
      <c r="A1" t="s">
        <v>218</v>
      </c>
    </row>
    <row r="3" spans="1:4" x14ac:dyDescent="0.25">
      <c r="A3" s="40">
        <f ca="1">TODAY()</f>
        <v>46277</v>
      </c>
      <c r="B3">
        <v>7</v>
      </c>
      <c r="C3" s="40">
        <f ca="1">A3+B3</f>
        <v>46284</v>
      </c>
      <c r="D3" t="s">
        <v>219</v>
      </c>
    </row>
    <row r="4" spans="1:4" x14ac:dyDescent="0.25">
      <c r="A4" s="40">
        <f ca="1">TODAY()</f>
        <v>46277</v>
      </c>
      <c r="B4">
        <v>5</v>
      </c>
      <c r="C4" s="40">
        <f ca="1">A4-B4</f>
        <v>46272</v>
      </c>
    </row>
    <row r="6" spans="1:4" x14ac:dyDescent="0.25">
      <c r="A6" s="40">
        <f ca="1">NOW()</f>
        <v>46277.878781712963</v>
      </c>
      <c r="C6" t="s">
        <v>220</v>
      </c>
    </row>
    <row r="8" spans="1:4" x14ac:dyDescent="0.25">
      <c r="A8">
        <f ca="1">YEAR(A6)</f>
        <v>2026</v>
      </c>
      <c r="C8" t="s">
        <v>221</v>
      </c>
    </row>
    <row r="9" spans="1:4" x14ac:dyDescent="0.25">
      <c r="A9">
        <f ca="1">MONTH(A6)</f>
        <v>9</v>
      </c>
      <c r="C9" t="s">
        <v>222</v>
      </c>
    </row>
    <row r="10" spans="1:4" x14ac:dyDescent="0.25">
      <c r="A10">
        <f ca="1">DAY(A6)</f>
        <v>12</v>
      </c>
      <c r="C10" t="s">
        <v>223</v>
      </c>
    </row>
    <row r="12" spans="1:4" x14ac:dyDescent="0.25">
      <c r="A12" s="40">
        <f ca="1">DATE(A8,A9,A10)</f>
        <v>46277</v>
      </c>
      <c r="C12" t="s">
        <v>224</v>
      </c>
    </row>
    <row r="13" spans="1:4" x14ac:dyDescent="0.25">
      <c r="A13" s="40"/>
    </row>
    <row r="14" spans="1:4" x14ac:dyDescent="0.25">
      <c r="A14" t="str">
        <f ca="1">TEXT(A6,"dddd")</f>
        <v>Saturday</v>
      </c>
      <c r="B14" t="str">
        <f ca="1">TEXT(A6,"mmmm")</f>
        <v>September</v>
      </c>
      <c r="C14" t="s">
        <v>225</v>
      </c>
    </row>
    <row r="15" spans="1:4" x14ac:dyDescent="0.25">
      <c r="A15" t="str">
        <f ca="1">TEXT(A12,"ddd")</f>
        <v>Sat</v>
      </c>
      <c r="B15" t="str">
        <f ca="1">TEXT(A6,"mmm")</f>
        <v>Sep</v>
      </c>
    </row>
    <row r="16" spans="1:4" x14ac:dyDescent="0.25">
      <c r="A16" t="str">
        <f ca="1">TEXT(A12,"dd")</f>
        <v>12</v>
      </c>
      <c r="B16" t="str">
        <f ca="1">TEXT(A6,"mm")</f>
        <v>09</v>
      </c>
    </row>
    <row r="17" spans="1:4" x14ac:dyDescent="0.25">
      <c r="B17" t="str">
        <f ca="1">TEXT(A6,"m")</f>
        <v>9</v>
      </c>
    </row>
    <row r="18" spans="1:4" x14ac:dyDescent="0.25">
      <c r="A18" t="str">
        <f ca="1">TEXT(A12,"mmm-yy")</f>
        <v>Sep-26</v>
      </c>
    </row>
    <row r="20" spans="1:4" x14ac:dyDescent="0.25">
      <c r="A20">
        <f ca="1">WEEKDAY(A12,11)</f>
        <v>6</v>
      </c>
    </row>
    <row r="21" spans="1:4" x14ac:dyDescent="0.25">
      <c r="A21" s="40">
        <v>46113</v>
      </c>
      <c r="B21" s="40">
        <v>46326</v>
      </c>
      <c r="C21">
        <f>B21-A21</f>
        <v>213</v>
      </c>
    </row>
    <row r="22" spans="1:4" x14ac:dyDescent="0.25">
      <c r="C22">
        <f>_xlfn.DAYS(B21,A21)</f>
        <v>213</v>
      </c>
    </row>
    <row r="23" spans="1:4" x14ac:dyDescent="0.25">
      <c r="C23">
        <f>DAYS360(A21,B21,)</f>
        <v>210</v>
      </c>
    </row>
    <row r="24" spans="1:4" x14ac:dyDescent="0.25">
      <c r="B24" t="s">
        <v>226</v>
      </c>
    </row>
    <row r="25" spans="1:4" x14ac:dyDescent="0.25">
      <c r="B25" t="s">
        <v>227</v>
      </c>
    </row>
    <row r="27" spans="1:4" x14ac:dyDescent="0.25">
      <c r="A27" s="40">
        <v>46113</v>
      </c>
      <c r="B27" s="40">
        <v>46249</v>
      </c>
      <c r="C27">
        <f>B27-A27</f>
        <v>136</v>
      </c>
    </row>
    <row r="28" spans="1:4" x14ac:dyDescent="0.25">
      <c r="C28">
        <f>_xlfn.DAYS(B27,A27)</f>
        <v>136</v>
      </c>
    </row>
    <row r="29" spans="1:4" x14ac:dyDescent="0.25">
      <c r="C29">
        <f>DAYS360(A27,B27)</f>
        <v>134</v>
      </c>
    </row>
    <row r="31" spans="1:4" x14ac:dyDescent="0.25">
      <c r="A31" s="40">
        <v>46127</v>
      </c>
      <c r="B31">
        <v>6</v>
      </c>
      <c r="C31" s="40">
        <f>EDATE(A31,B31)</f>
        <v>46310</v>
      </c>
      <c r="D31" t="s">
        <v>228</v>
      </c>
    </row>
    <row r="32" spans="1:4" x14ac:dyDescent="0.25">
      <c r="C32" s="40">
        <f>EOMONTH(A31,B31)</f>
        <v>46326</v>
      </c>
      <c r="D32" t="s">
        <v>227</v>
      </c>
    </row>
    <row r="33" spans="1:6" x14ac:dyDescent="0.25">
      <c r="A33" s="40">
        <v>46127</v>
      </c>
      <c r="B33">
        <v>6</v>
      </c>
    </row>
    <row r="35" spans="1:6" x14ac:dyDescent="0.25">
      <c r="A35" t="s">
        <v>229</v>
      </c>
    </row>
    <row r="36" spans="1:6" x14ac:dyDescent="0.25">
      <c r="A36" t="s">
        <v>230</v>
      </c>
    </row>
    <row r="38" spans="1:6" x14ac:dyDescent="0.25">
      <c r="A38" s="40">
        <v>46113</v>
      </c>
      <c r="B38" s="40">
        <v>46326</v>
      </c>
      <c r="C38">
        <f>B38-A38</f>
        <v>213</v>
      </c>
      <c r="D38" t="s">
        <v>141</v>
      </c>
      <c r="E38" t="s">
        <v>231</v>
      </c>
      <c r="F38" t="s">
        <v>232</v>
      </c>
    </row>
    <row r="39" spans="1:6" x14ac:dyDescent="0.25">
      <c r="B39" s="51"/>
    </row>
    <row r="40" spans="1:6" x14ac:dyDescent="0.25">
      <c r="B40" s="40"/>
      <c r="C40">
        <f>NETWORKDAYS.INTL(A38,B38,11,)</f>
        <v>184</v>
      </c>
      <c r="D40" t="s">
        <v>233</v>
      </c>
      <c r="E40" t="s">
        <v>234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4F8FBD-85F9-4071-9C91-B9F64853AD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IF FORMULA</vt:lpstr>
      <vt:lpstr>NESTED IF</vt:lpstr>
      <vt:lpstr>IF AND IF OR</vt:lpstr>
      <vt:lpstr>COUNTA &amp; COUNT BLANK</vt:lpstr>
      <vt:lpstr>SUMIF</vt:lpstr>
      <vt:lpstr>SUMIFS</vt:lpstr>
      <vt:lpstr>COUNTIF</vt:lpstr>
      <vt:lpstr>COUNTIFS</vt:lpstr>
      <vt:lpstr>AVERAGEIF AND AVERAGE IFS</vt:lpstr>
      <vt:lpstr>SUBTOTAL</vt:lpstr>
      <vt:lpstr>SUMPRODUCT</vt:lpstr>
      <vt:lpstr>LEFT, MID, RIGHT, FIND </vt:lpstr>
      <vt:lpstr>Flash Fill</vt:lpstr>
      <vt:lpstr>SUBSTITUTE</vt:lpstr>
      <vt:lpstr>PMT,IPMT,PPMT,PV,FV</vt:lpstr>
      <vt:lpstr>Date function</vt:lpstr>
      <vt:lpstr>Amount</vt:lpstr>
      <vt:lpstr>Debit_Credit</vt:lpstr>
      <vt:lpstr>Designation</vt:lpstr>
      <vt:lpstr>Employee_Code</vt:lpstr>
      <vt:lpstr>Salary</vt:lpstr>
      <vt:lpstr>Transction_Type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Lokesh Ahire</cp:lastModifiedBy>
  <dcterms:created xsi:type="dcterms:W3CDTF">2019-10-18T01:12:53Z</dcterms:created>
  <dcterms:modified xsi:type="dcterms:W3CDTF">2026-09-12T15:37:30Z</dcterms:modified>
</cp:coreProperties>
</file>