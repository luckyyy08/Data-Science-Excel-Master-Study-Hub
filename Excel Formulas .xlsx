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Lucky\Desktop\Advance Excel\"/>
    </mc:Choice>
  </mc:AlternateContent>
  <xr:revisionPtr revIDLastSave="0" documentId="13_ncr:1_{7535FDD5-492F-48A1-BEFA-95DC517B3651}" xr6:coauthVersionLast="36" xr6:coauthVersionMax="47" xr10:uidLastSave="{00000000-0000-0000-0000-000000000000}"/>
  <bookViews>
    <workbookView xWindow="-105" yWindow="-105" windowWidth="23250" windowHeight="12720" tabRatio="913" xr2:uid="{00000000-000D-0000-FFFF-FFFF00000000}"/>
  </bookViews>
  <sheets>
    <sheet name="IF FORMULA" sheetId="15" r:id="rId1"/>
    <sheet name="NESTED IF" sheetId="17" r:id="rId2"/>
    <sheet name="IF AND IF OR" sheetId="16" r:id="rId3"/>
    <sheet name="COUNTA &amp; COUNT BLANK" sheetId="11" r:id="rId4"/>
    <sheet name="SUMIF" sheetId="6" r:id="rId5"/>
    <sheet name="SUMIFS" sheetId="7" r:id="rId6"/>
    <sheet name="COUNTIF" sheetId="8" r:id="rId7"/>
    <sheet name="COUNTIFS" sheetId="9" r:id="rId8"/>
    <sheet name="AVERAGEIF AND AVERAGE IFS" sheetId="12" r:id="rId9"/>
    <sheet name="SUBTOTAL" sheetId="13" r:id="rId10"/>
    <sheet name="SUMPRODUCT" sheetId="14" r:id="rId11"/>
    <sheet name="LEFT, MID, RIGHT, FIND " sheetId="19" r:id="rId12"/>
    <sheet name="Flash Fill" sheetId="25" r:id="rId13"/>
    <sheet name="SUBSTITUTE" sheetId="21" r:id="rId14"/>
    <sheet name="PMT,IPMT,PPMT,PV,FV" sheetId="20" r:id="rId15"/>
    <sheet name="Date function" sheetId="26" r:id="rId16"/>
  </sheets>
  <definedNames>
    <definedName name="_xlnm._FilterDatabase" localSheetId="8" hidden="1">'AVERAGEIF AND AVERAGE IFS'!$A$1:$D$13</definedName>
    <definedName name="_xlnm._FilterDatabase" localSheetId="4" hidden="1">SUMIF!$A$1:$C$13</definedName>
    <definedName name="_xlnm._FilterDatabase" localSheetId="5" hidden="1">SUMIFS!$A$1:$D$13</definedName>
    <definedName name="Amount">SUMIFS!$D$2:$D$13</definedName>
    <definedName name="Debit_Credit">SUMIFS!$C$2:$C$13</definedName>
    <definedName name="Designation">SUMIF!$B$2:$B$13</definedName>
    <definedName name="Employee_Code">SUMIF!$A$2:$A$13</definedName>
    <definedName name="Salary">SUMIF!$C$2:$C$13</definedName>
    <definedName name="Transction_Type">SUMIFS!$B$2:$B$13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1" l="1"/>
  <c r="A2" i="11"/>
  <c r="C40" i="26"/>
  <c r="C38" i="26"/>
  <c r="C32" i="26"/>
  <c r="C28" i="26"/>
  <c r="C31" i="26"/>
  <c r="C29" i="26"/>
  <c r="C27" i="26"/>
  <c r="C23" i="26"/>
  <c r="C22" i="26"/>
  <c r="C21" i="26"/>
  <c r="A6" i="26"/>
  <c r="B17" i="26" s="1"/>
  <c r="A4" i="26"/>
  <c r="C4" i="26" s="1"/>
  <c r="A3" i="26"/>
  <c r="C3" i="26" s="1"/>
  <c r="C31" i="8"/>
  <c r="D31" i="8"/>
  <c r="E31" i="8"/>
  <c r="F25" i="8"/>
  <c r="G25" i="8"/>
  <c r="C32" i="8"/>
  <c r="D32" i="8"/>
  <c r="E32" i="8"/>
  <c r="F26" i="8"/>
  <c r="G26" i="8"/>
  <c r="C33" i="8"/>
  <c r="D33" i="8"/>
  <c r="E33" i="8"/>
  <c r="F27" i="8"/>
  <c r="G27" i="8"/>
  <c r="C34" i="8"/>
  <c r="D34" i="8"/>
  <c r="E34" i="8"/>
  <c r="F28" i="8"/>
  <c r="G28" i="8"/>
  <c r="C35" i="8"/>
  <c r="D35" i="8"/>
  <c r="E35" i="8"/>
  <c r="F29" i="8"/>
  <c r="G29" i="8"/>
  <c r="D30" i="8"/>
  <c r="E30" i="8"/>
  <c r="F24" i="8"/>
  <c r="G24" i="8"/>
  <c r="C30" i="8"/>
  <c r="B15" i="26" l="1"/>
  <c r="B16" i="26"/>
  <c r="A14" i="26"/>
  <c r="B14" i="26"/>
  <c r="A10" i="26"/>
  <c r="A8" i="26"/>
  <c r="A9" i="26"/>
  <c r="A12" i="26" l="1"/>
  <c r="A20" i="26" s="1"/>
  <c r="A18" i="26" l="1"/>
  <c r="A15" i="26"/>
  <c r="A16" i="2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E4CBCB-7978-4779-AC15-9774B07BDE24}" keepAlive="1" name="Query - Table 2" description="Connection to the 'Table 2' query in the workbook." type="5" refreshedVersion="8" background="1" saveData="1">
    <dbPr connection="Provider=Microsoft.Mashup.OleDb.1;Data Source=$Workbook$;Location=&quot;Table 2&quot;;Extended Properties=&quot;&quot;" command="SELECT * FROM [Table 2]"/>
  </connection>
</connections>
</file>

<file path=xl/sharedStrings.xml><?xml version="1.0" encoding="utf-8"?>
<sst xmlns="http://schemas.openxmlformats.org/spreadsheetml/2006/main" count="693" uniqueCount="245">
  <si>
    <t>Ashok Singh</t>
  </si>
  <si>
    <t>Shankar Jadhav</t>
  </si>
  <si>
    <t>Vinod Kale</t>
  </si>
  <si>
    <t>Rajendra Verma</t>
  </si>
  <si>
    <t>Raj Singh</t>
  </si>
  <si>
    <t>Santosh Kale</t>
  </si>
  <si>
    <t>Sameer Shinde</t>
  </si>
  <si>
    <t>Ravi Verma</t>
  </si>
  <si>
    <t>Vinod Singh</t>
  </si>
  <si>
    <t>Kiran Katekar</t>
  </si>
  <si>
    <t>Ashok Singhania</t>
  </si>
  <si>
    <t>Viresh Pal</t>
  </si>
  <si>
    <t>Amount</t>
  </si>
  <si>
    <t>Employee Code</t>
  </si>
  <si>
    <t>Designation</t>
  </si>
  <si>
    <t>Salary</t>
  </si>
  <si>
    <t>TCS 1</t>
  </si>
  <si>
    <t>MIS Executive</t>
  </si>
  <si>
    <t>TCS 2</t>
  </si>
  <si>
    <t>Consultant</t>
  </si>
  <si>
    <t>TCS 3</t>
  </si>
  <si>
    <t>Accounts Executive</t>
  </si>
  <si>
    <t>TCS 4</t>
  </si>
  <si>
    <t>TCS 5</t>
  </si>
  <si>
    <t>TCS 6</t>
  </si>
  <si>
    <t>TCS 7</t>
  </si>
  <si>
    <t>TCS 8</t>
  </si>
  <si>
    <t>TCS 9</t>
  </si>
  <si>
    <t>TCS 10</t>
  </si>
  <si>
    <t>TCS 11</t>
  </si>
  <si>
    <t>TCS 12</t>
  </si>
  <si>
    <t>Date</t>
  </si>
  <si>
    <t>Transction Type</t>
  </si>
  <si>
    <t>Debit/Credit</t>
  </si>
  <si>
    <t>Online</t>
  </si>
  <si>
    <t>Cash</t>
  </si>
  <si>
    <t>Debit Card</t>
  </si>
  <si>
    <t>Debit</t>
  </si>
  <si>
    <t>Credit</t>
  </si>
  <si>
    <t>TOTAL</t>
  </si>
  <si>
    <t>SEMINAR SEAT BOOKINGS</t>
  </si>
  <si>
    <t>BOOKED</t>
  </si>
  <si>
    <t>PENDING</t>
  </si>
  <si>
    <t>MALE</t>
  </si>
  <si>
    <t>FEMALE</t>
  </si>
  <si>
    <t>F</t>
  </si>
  <si>
    <t>M</t>
  </si>
  <si>
    <t>RATE</t>
  </si>
  <si>
    <t>DVD</t>
  </si>
  <si>
    <t>PENDRIVE</t>
  </si>
  <si>
    <t>SPEAKER</t>
  </si>
  <si>
    <t>LED</t>
  </si>
  <si>
    <t>LCD</t>
  </si>
  <si>
    <t>HDD</t>
  </si>
  <si>
    <t>CPU</t>
  </si>
  <si>
    <t>RAM</t>
  </si>
  <si>
    <t>SPMS</t>
  </si>
  <si>
    <t>EMP</t>
  </si>
  <si>
    <t>BASIC SALARY</t>
  </si>
  <si>
    <t>BONUS</t>
  </si>
  <si>
    <t>DESG</t>
  </si>
  <si>
    <t>MANAGER</t>
  </si>
  <si>
    <t>SUPERVISOR</t>
  </si>
  <si>
    <t>PEON</t>
  </si>
  <si>
    <t>CLERK</t>
  </si>
  <si>
    <t>CITY AND PINCODE</t>
  </si>
  <si>
    <t>Mumbai -400086</t>
  </si>
  <si>
    <t>Mumbai -400087</t>
  </si>
  <si>
    <t>Mumbai -400088</t>
  </si>
  <si>
    <t>Mumbai -400089</t>
  </si>
  <si>
    <t>Mumbai -400090</t>
  </si>
  <si>
    <t>Mumbai -400091</t>
  </si>
  <si>
    <t>Mumbai -400092</t>
  </si>
  <si>
    <t>Mumbai -400093</t>
  </si>
  <si>
    <t>Mumbai -400094</t>
  </si>
  <si>
    <t>Mumbai -400095</t>
  </si>
  <si>
    <t>Mumbai -400096</t>
  </si>
  <si>
    <t>Mumbai -400097</t>
  </si>
  <si>
    <t>INTEREST</t>
  </si>
  <si>
    <t>TOTAL PAID</t>
  </si>
  <si>
    <t>AFTER 60 M</t>
  </si>
  <si>
    <t>FUTURE VALUE</t>
  </si>
  <si>
    <t>LOAN AMOUNT</t>
  </si>
  <si>
    <t>EMI</t>
  </si>
  <si>
    <t>PMT</t>
  </si>
  <si>
    <t>PERIOD</t>
  </si>
  <si>
    <t>"N" NUMBER OF PERIOD</t>
  </si>
  <si>
    <t>MONTHS</t>
  </si>
  <si>
    <t>DURATION</t>
  </si>
  <si>
    <t>P.V</t>
  </si>
  <si>
    <t>RUPEES</t>
  </si>
  <si>
    <t>INTEREST RATE</t>
  </si>
  <si>
    <t>%AGE</t>
  </si>
  <si>
    <t>PER ANNM</t>
  </si>
  <si>
    <t>FORMULA ARGUMENTS</t>
  </si>
  <si>
    <t>GENERAL NAMES</t>
  </si>
  <si>
    <t>FV</t>
  </si>
  <si>
    <t>PV</t>
  </si>
  <si>
    <t>PPMT</t>
  </si>
  <si>
    <t>IPMT</t>
  </si>
  <si>
    <t>PAYMENT TERMS</t>
  </si>
  <si>
    <t>DELHI,400001</t>
  </si>
  <si>
    <t>9812-12-12-12</t>
  </si>
  <si>
    <t>MUMBAI, 400086</t>
  </si>
  <si>
    <t>9812-34-56-78</t>
  </si>
  <si>
    <t>AFTER SUBSTITUTE</t>
  </si>
  <si>
    <t>MOB NO / DATA</t>
  </si>
  <si>
    <t xml:space="preserve">सबस्टीट्यूट  फंक्शन का प्रैक्टिकल यूज़ सीखो </t>
  </si>
  <si>
    <t>Debit CARD</t>
  </si>
  <si>
    <t>COUNTING</t>
  </si>
  <si>
    <t>ITEM NAME</t>
  </si>
  <si>
    <t>QTY</t>
  </si>
  <si>
    <t>&gt;=</t>
  </si>
  <si>
    <t>SALARY</t>
  </si>
  <si>
    <t>&gt;=20000</t>
  </si>
  <si>
    <t>LEFT</t>
  </si>
  <si>
    <t>RIGHT</t>
  </si>
  <si>
    <t>MID</t>
  </si>
  <si>
    <t>ABC986</t>
  </si>
  <si>
    <t>HTG987</t>
  </si>
  <si>
    <t>985HGF</t>
  </si>
  <si>
    <t>748IKJ</t>
  </si>
  <si>
    <t>RSF854</t>
  </si>
  <si>
    <t>IUW965</t>
  </si>
  <si>
    <t>655AVS</t>
  </si>
  <si>
    <t>321ERR</t>
  </si>
  <si>
    <t>GFD955</t>
  </si>
  <si>
    <t>965UJH</t>
  </si>
  <si>
    <t>HPK965</t>
  </si>
  <si>
    <t>857OKJ</t>
  </si>
  <si>
    <t>965PLK</t>
  </si>
  <si>
    <t>147SDG</t>
  </si>
  <si>
    <t>TDG854</t>
  </si>
  <si>
    <t>OHI632</t>
  </si>
  <si>
    <t>MOI974</t>
  </si>
  <si>
    <t>Text</t>
  </si>
  <si>
    <t>Number</t>
  </si>
  <si>
    <t>Name &amp; Number</t>
  </si>
  <si>
    <t>harshal</t>
  </si>
  <si>
    <t>ms</t>
  </si>
  <si>
    <t>faiz</t>
  </si>
  <si>
    <t>ms aditi</t>
  </si>
  <si>
    <t>Sunday</t>
  </si>
  <si>
    <t>m</t>
  </si>
  <si>
    <t>mm</t>
  </si>
  <si>
    <t>mmm</t>
  </si>
  <si>
    <t>mmmm</t>
  </si>
  <si>
    <t>&gt;=25000</t>
  </si>
  <si>
    <t>green text</t>
  </si>
  <si>
    <t>&lt;25000</t>
  </si>
  <si>
    <t>red</t>
  </si>
  <si>
    <t>[green][&gt;=25000];[red][&lt;25000]</t>
  </si>
  <si>
    <t>barack hussein</t>
  </si>
  <si>
    <t>george walker</t>
  </si>
  <si>
    <t>william jefferson</t>
  </si>
  <si>
    <t>george herbert</t>
  </si>
  <si>
    <t>ronald wilson</t>
  </si>
  <si>
    <t>james earl</t>
  </si>
  <si>
    <t>gerald rudolph</t>
  </si>
  <si>
    <t>richard milhous</t>
  </si>
  <si>
    <t>lyndon baines</t>
  </si>
  <si>
    <t>john fitzgerald</t>
  </si>
  <si>
    <t>dwight david</t>
  </si>
  <si>
    <t>harry s</t>
  </si>
  <si>
    <t>franklin delano</t>
  </si>
  <si>
    <t>herbert clark</t>
  </si>
  <si>
    <t>calvin coolidge</t>
  </si>
  <si>
    <t>warren gamaliel</t>
  </si>
  <si>
    <t>woodrow wilson</t>
  </si>
  <si>
    <t>william howard</t>
  </si>
  <si>
    <t>theodore roosevelt</t>
  </si>
  <si>
    <t>william mckinley</t>
  </si>
  <si>
    <t>benjamin harrison</t>
  </si>
  <si>
    <t>grover cleveland</t>
  </si>
  <si>
    <t>chester alan</t>
  </si>
  <si>
    <t>james abram</t>
  </si>
  <si>
    <t>rutherford birchard</t>
  </si>
  <si>
    <t>ulysses simpson</t>
  </si>
  <si>
    <t>andrew johnson</t>
  </si>
  <si>
    <t>abraham lincoln</t>
  </si>
  <si>
    <t>james buchanan</t>
  </si>
  <si>
    <t>franklin pierce</t>
  </si>
  <si>
    <t>millard fillmore</t>
  </si>
  <si>
    <t>zachary taylor</t>
  </si>
  <si>
    <t>james knox</t>
  </si>
  <si>
    <t>john tyler</t>
  </si>
  <si>
    <t>william henry</t>
  </si>
  <si>
    <t>martin van</t>
  </si>
  <si>
    <t>andrew jackson</t>
  </si>
  <si>
    <t>john quincy</t>
  </si>
  <si>
    <t>james monroe</t>
  </si>
  <si>
    <t>james madison</t>
  </si>
  <si>
    <t>thomas jefferson</t>
  </si>
  <si>
    <t>john adams</t>
  </si>
  <si>
    <t>george washington</t>
  </si>
  <si>
    <t>first last</t>
  </si>
  <si>
    <t>First</t>
  </si>
  <si>
    <t>last</t>
  </si>
  <si>
    <t>yes</t>
  </si>
  <si>
    <t>no</t>
  </si>
  <si>
    <t>tcs 13</t>
  </si>
  <si>
    <t>tcs 14</t>
  </si>
  <si>
    <t>tcs 15</t>
  </si>
  <si>
    <t>cash</t>
  </si>
  <si>
    <t xml:space="preserve">total </t>
  </si>
  <si>
    <t>use sum if</t>
  </si>
  <si>
    <t>amount</t>
  </si>
  <si>
    <t>sumproduct</t>
  </si>
  <si>
    <t>use sum ifs</t>
  </si>
  <si>
    <t>&gt;250</t>
  </si>
  <si>
    <t>total</t>
  </si>
  <si>
    <t>bonus</t>
  </si>
  <si>
    <t>otherwise no</t>
  </si>
  <si>
    <t>&gt;90</t>
  </si>
  <si>
    <t>A</t>
  </si>
  <si>
    <t>&gt;75</t>
  </si>
  <si>
    <t>B</t>
  </si>
  <si>
    <t>&gt;60</t>
  </si>
  <si>
    <t>c</t>
  </si>
  <si>
    <t>D</t>
  </si>
  <si>
    <t>Date function</t>
  </si>
  <si>
    <t>today</t>
  </si>
  <si>
    <t>now</t>
  </si>
  <si>
    <t>year</t>
  </si>
  <si>
    <t>month</t>
  </si>
  <si>
    <t>day</t>
  </si>
  <si>
    <t>date</t>
  </si>
  <si>
    <t xml:space="preserve">text </t>
  </si>
  <si>
    <t>edate</t>
  </si>
  <si>
    <t>EOMONTH</t>
  </si>
  <si>
    <t>EDATE</t>
  </si>
  <si>
    <t>ADVANCE DATE FUNCTION</t>
  </si>
  <si>
    <t>TEXT FUNCTION</t>
  </si>
  <si>
    <t>Saturday</t>
  </si>
  <si>
    <t>holidays</t>
  </si>
  <si>
    <t>only Sunday</t>
  </si>
  <si>
    <t>no extra holidays</t>
  </si>
  <si>
    <t>Count</t>
  </si>
  <si>
    <t>Bonus</t>
  </si>
  <si>
    <t>admin</t>
  </si>
  <si>
    <t>define %</t>
  </si>
  <si>
    <t>define value</t>
  </si>
  <si>
    <t xml:space="preserve">use both logical condition </t>
  </si>
  <si>
    <t xml:space="preserve">and </t>
  </si>
  <si>
    <t>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</si>
</sst>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8" formatCode="&quot;₹&quot;\ #,##0.00;[Red]&quot;₹&quot;\ \-#,##0.00"/>
    <numFmt numFmtId="43" formatCode="_ * #,##0.00_ ;_ * \-#,##0.00_ ;_ * &quot;-&quot;??_ ;_ @_ "/>
    <numFmt numFmtId="164" formatCode="_(* #,##0.00_);_(* \(#,##0.00\);_(* &quot;-&quot;??_);_(@_)"/>
    <numFmt numFmtId="165" formatCode="&quot;Rs.&quot;\ #,##0.00"/>
    <numFmt numFmtId="166" formatCode="&quot;Rs.&quot;\ #,##0.00;[Red]&quot;Rs.&quot;\ \-#,##0.00"/>
    <numFmt numFmtId="167" formatCode="_ [$₹-4009]\ * #,##0.00_ ;_ [$₹-4009]\ * \-#,##0.00_ ;_ [$₹-4009]\ * &quot;-&quot;??_ ;_ @_ "/>
    <numFmt numFmtId="168" formatCode="_ [$₹-4009]\ * #,##0_ ;_ [$₹-4009]\ * \-#,##0_ ;_ [$₹-4009]\ * &quot;-&quot;??_ ;_ @_ "/>
    <numFmt numFmtId="169" formatCode="00000"/>
    <numFmt numFmtId="170" formatCode="0\ &quot;Days&quot;"/>
    <numFmt numFmtId="171" formatCode="0\ &quot;days&quot;"/>
    <numFmt numFmtId="172" formatCode="&quot;Quarter&quot;\ 0"/>
    <numFmt numFmtId="173" formatCode="&quot;MR&quot;\ @"/>
    <numFmt numFmtId="174" formatCode="&quot;ms&quot;"/>
    <numFmt numFmtId="175" formatCode="dd"/>
    <numFmt numFmtId="176" formatCode="dddd"/>
    <numFmt numFmtId="177" formatCode="[Green][&gt;=25000]General;[Red][&lt;25000]General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Times New Roman"/>
      <family val="1"/>
    </font>
    <font>
      <sz val="10"/>
      <color rgb="FF000000"/>
      <name val="Times New Roman"/>
      <family val="1"/>
    </font>
    <font>
      <b/>
      <sz val="11"/>
      <color theme="1"/>
      <name val="Calibri"/>
      <family val="2"/>
      <scheme val="minor"/>
    </font>
    <font>
      <sz val="11"/>
      <color theme="1"/>
      <name val="Arial Black"/>
      <family val="2"/>
    </font>
    <font>
      <sz val="11"/>
      <color theme="0"/>
      <name val="Arial Black"/>
      <family val="2"/>
    </font>
    <font>
      <b/>
      <sz val="11"/>
      <color rgb="FF002060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00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0" fontId="1" fillId="0" borderId="0"/>
    <xf numFmtId="164" fontId="3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2">
    <xf numFmtId="0" fontId="0" fillId="0" borderId="0" xfId="0"/>
    <xf numFmtId="0" fontId="0" fillId="0" borderId="1" xfId="0" applyBorder="1"/>
    <xf numFmtId="14" fontId="0" fillId="0" borderId="1" xfId="0" applyNumberFormat="1" applyBorder="1"/>
    <xf numFmtId="0" fontId="0" fillId="3" borderId="1" xfId="0" applyFill="1" applyBorder="1"/>
    <xf numFmtId="0" fontId="6" fillId="3" borderId="2" xfId="0" applyFont="1" applyFill="1" applyBorder="1"/>
    <xf numFmtId="0" fontId="0" fillId="0" borderId="3" xfId="0" applyBorder="1"/>
    <xf numFmtId="2" fontId="0" fillId="0" borderId="0" xfId="0" applyNumberFormat="1"/>
    <xf numFmtId="2" fontId="0" fillId="0" borderId="1" xfId="0" applyNumberFormat="1" applyBorder="1"/>
    <xf numFmtId="166" fontId="0" fillId="0" borderId="0" xfId="0" applyNumberFormat="1"/>
    <xf numFmtId="166" fontId="0" fillId="0" borderId="1" xfId="0" applyNumberFormat="1" applyBorder="1"/>
    <xf numFmtId="9" fontId="0" fillId="0" borderId="1" xfId="0" applyNumberFormat="1" applyBorder="1"/>
    <xf numFmtId="0" fontId="0" fillId="0" borderId="7" xfId="0" applyBorder="1"/>
    <xf numFmtId="0" fontId="6" fillId="0" borderId="0" xfId="0" applyFont="1"/>
    <xf numFmtId="0" fontId="7" fillId="0" borderId="1" xfId="0" applyFont="1" applyBorder="1" applyAlignment="1">
      <alignment horizontal="center"/>
    </xf>
    <xf numFmtId="0" fontId="8" fillId="2" borderId="1" xfId="0" applyFont="1" applyFill="1" applyBorder="1" applyAlignment="1">
      <alignment horizontal="center"/>
    </xf>
    <xf numFmtId="0" fontId="0" fillId="0" borderId="8" xfId="0" applyBorder="1"/>
    <xf numFmtId="2" fontId="6" fillId="0" borderId="1" xfId="0" applyNumberFormat="1" applyFont="1" applyBorder="1"/>
    <xf numFmtId="165" fontId="0" fillId="0" borderId="0" xfId="0" applyNumberFormat="1"/>
    <xf numFmtId="0" fontId="6" fillId="0" borderId="0" xfId="0" applyFont="1" applyAlignment="1">
      <alignment vertical="center"/>
    </xf>
    <xf numFmtId="0" fontId="2" fillId="5" borderId="1" xfId="0" applyFont="1" applyFill="1" applyBorder="1" applyAlignment="1">
      <alignment horizontal="center" vertical="top"/>
    </xf>
    <xf numFmtId="0" fontId="0" fillId="0" borderId="1" xfId="0" applyBorder="1" applyAlignment="1">
      <alignment horizontal="left" vertical="top"/>
    </xf>
    <xf numFmtId="0" fontId="0" fillId="0" borderId="9" xfId="0" applyBorder="1"/>
    <xf numFmtId="0" fontId="0" fillId="3" borderId="9" xfId="0" applyFill="1" applyBorder="1"/>
    <xf numFmtId="0" fontId="0" fillId="3" borderId="0" xfId="0" applyFill="1"/>
    <xf numFmtId="0" fontId="0" fillId="3" borderId="2" xfId="0" applyFill="1" applyBorder="1"/>
    <xf numFmtId="9" fontId="0" fillId="0" borderId="0" xfId="0" applyNumberFormat="1"/>
    <xf numFmtId="9" fontId="0" fillId="6" borderId="0" xfId="0" applyNumberFormat="1" applyFill="1" applyAlignment="1">
      <alignment horizontal="center" vertical="center"/>
    </xf>
    <xf numFmtId="43" fontId="0" fillId="0" borderId="0" xfId="1" applyFont="1"/>
    <xf numFmtId="168" fontId="5" fillId="0" borderId="1" xfId="4" applyNumberFormat="1" applyFont="1" applyBorder="1"/>
    <xf numFmtId="169" fontId="0" fillId="0" borderId="0" xfId="0" applyNumberFormat="1"/>
    <xf numFmtId="170" fontId="0" fillId="0" borderId="0" xfId="0" applyNumberFormat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74" fontId="0" fillId="0" borderId="0" xfId="0" applyNumberFormat="1"/>
    <xf numFmtId="175" fontId="0" fillId="0" borderId="0" xfId="0" applyNumberFormat="1"/>
    <xf numFmtId="176" fontId="0" fillId="0" borderId="0" xfId="0" applyNumberFormat="1"/>
    <xf numFmtId="0" fontId="0" fillId="0" borderId="0" xfId="0" quotePrefix="1"/>
    <xf numFmtId="177" fontId="0" fillId="0" borderId="0" xfId="0" applyNumberFormat="1"/>
    <xf numFmtId="0" fontId="10" fillId="0" borderId="0" xfId="0" applyFont="1"/>
    <xf numFmtId="167" fontId="0" fillId="0" borderId="1" xfId="0" applyNumberFormat="1" applyBorder="1"/>
    <xf numFmtId="14" fontId="0" fillId="0" borderId="0" xfId="0" applyNumberFormat="1"/>
    <xf numFmtId="10" fontId="0" fillId="0" borderId="0" xfId="0" applyNumberFormat="1"/>
    <xf numFmtId="8" fontId="0" fillId="0" borderId="0" xfId="0" applyNumberFormat="1"/>
    <xf numFmtId="0" fontId="0" fillId="0" borderId="10" xfId="0" applyBorder="1"/>
    <xf numFmtId="0" fontId="4" fillId="2" borderId="11" xfId="0" applyFont="1" applyFill="1" applyBorder="1"/>
    <xf numFmtId="0" fontId="4" fillId="2" borderId="3" xfId="0" applyFont="1" applyFill="1" applyBorder="1"/>
    <xf numFmtId="43" fontId="4" fillId="2" borderId="3" xfId="1" applyFont="1" applyFill="1" applyBorder="1"/>
    <xf numFmtId="0" fontId="0" fillId="0" borderId="12" xfId="0" applyBorder="1"/>
    <xf numFmtId="0" fontId="0" fillId="0" borderId="13" xfId="0" applyBorder="1"/>
    <xf numFmtId="22" fontId="0" fillId="0" borderId="0" xfId="0" applyNumberFormat="1"/>
    <xf numFmtId="9" fontId="0" fillId="0" borderId="1" xfId="4" applyFont="1" applyBorder="1"/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9" fillId="4" borderId="7" xfId="0" applyFont="1" applyFill="1" applyBorder="1" applyAlignment="1">
      <alignment horizontal="center" vertical="center"/>
    </xf>
    <xf numFmtId="0" fontId="9" fillId="4" borderId="8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7" fillId="0" borderId="8" xfId="0" applyFont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8" fillId="2" borderId="1" xfId="0" applyFont="1" applyFill="1" applyBorder="1" applyAlignment="1">
      <alignment horizontal="center"/>
    </xf>
  </cellXfs>
  <cellStyles count="5">
    <cellStyle name="Comma" xfId="1" builtinId="3"/>
    <cellStyle name="Comma 2" xfId="3" xr:uid="{00000000-0005-0000-0000-000001000000}"/>
    <cellStyle name="Normal" xfId="0" builtinId="0"/>
    <cellStyle name="Normal 2" xfId="2" xr:uid="{00000000-0005-0000-0000-000003000000}"/>
    <cellStyle name="Percent" xfId="4" builtinId="5"/>
  </cellStyles>
  <dxfs count="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Times New Roman"/>
        <scheme val="none"/>
      </font>
      <numFmt numFmtId="168" formatCode="_ [$₹-4009]\ * #,##0_ ;_ [$₹-4009]\ * \-#,##0_ ;_ [$₹-4009]\ * &quot;-&quot;??_ ;_ @_ 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Times New Roman"/>
        <scheme val="none"/>
      </font>
      <fill>
        <patternFill patternType="solid">
          <fgColor indexed="64"/>
          <bgColor theme="4" tint="-0.249977111117893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962024</xdr:colOff>
      <xdr:row>36</xdr:row>
      <xdr:rowOff>42864</xdr:rowOff>
    </xdr:from>
    <xdr:to>
      <xdr:col>5</xdr:col>
      <xdr:colOff>690562</xdr:colOff>
      <xdr:row>37</xdr:row>
      <xdr:rowOff>157165</xdr:rowOff>
    </xdr:to>
    <xdr:sp macro="" textlink="">
      <xdr:nvSpPr>
        <xdr:cNvPr id="2" name="Arrow: Right 1">
          <a:extLst>
            <a:ext uri="{FF2B5EF4-FFF2-40B4-BE49-F238E27FC236}">
              <a16:creationId xmlns:a16="http://schemas.microsoft.com/office/drawing/2014/main" id="{0B8404D9-2671-47E9-8FCC-E48954408F62}"/>
            </a:ext>
          </a:extLst>
        </xdr:cNvPr>
        <xdr:cNvSpPr/>
      </xdr:nvSpPr>
      <xdr:spPr>
        <a:xfrm>
          <a:off x="1928812" y="5834064"/>
          <a:ext cx="2700338" cy="295276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38100</xdr:colOff>
      <xdr:row>36</xdr:row>
      <xdr:rowOff>171452</xdr:rowOff>
    </xdr:from>
    <xdr:to>
      <xdr:col>1</xdr:col>
      <xdr:colOff>381000</xdr:colOff>
      <xdr:row>43</xdr:row>
      <xdr:rowOff>142877</xdr:rowOff>
    </xdr:to>
    <xdr:sp macro="" textlink="">
      <xdr:nvSpPr>
        <xdr:cNvPr id="3" name="Arrow: Down 2">
          <a:extLst>
            <a:ext uri="{FF2B5EF4-FFF2-40B4-BE49-F238E27FC236}">
              <a16:creationId xmlns:a16="http://schemas.microsoft.com/office/drawing/2014/main" id="{7FAA60FF-0A25-4761-9BEC-0190D7AE8AE0}"/>
            </a:ext>
          </a:extLst>
        </xdr:cNvPr>
        <xdr:cNvSpPr/>
      </xdr:nvSpPr>
      <xdr:spPr>
        <a:xfrm>
          <a:off x="1004888" y="5962652"/>
          <a:ext cx="342900" cy="1238250"/>
        </a:xfrm>
        <a:prstGeom prst="down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1051891</xdr:colOff>
      <xdr:row>3</xdr:row>
      <xdr:rowOff>99392</xdr:rowOff>
    </xdr:from>
    <xdr:to>
      <xdr:col>7</xdr:col>
      <xdr:colOff>455544</xdr:colOff>
      <xdr:row>13</xdr:row>
      <xdr:rowOff>66261</xdr:rowOff>
    </xdr:to>
    <xdr:grpSp>
      <xdr:nvGrpSpPr>
        <xdr:cNvPr id="2" name="Group 1" hidden="1">
          <a:extLst>
            <a:ext uri="{FF2B5EF4-FFF2-40B4-BE49-F238E27FC236}">
              <a16:creationId xmlns:a16="http://schemas.microsoft.com/office/drawing/2014/main" id="{00000000-0008-0000-1300-000002000000}"/>
            </a:ext>
          </a:extLst>
        </xdr:cNvPr>
        <xdr:cNvGrpSpPr/>
      </xdr:nvGrpSpPr>
      <xdr:grpSpPr>
        <a:xfrm>
          <a:off x="1813891" y="688939"/>
          <a:ext cx="5419442" cy="1811711"/>
          <a:chOff x="1794184" y="723444"/>
          <a:chExt cx="5151498" cy="1911283"/>
        </a:xfrm>
      </xdr:grpSpPr>
      <xdr:cxnSp macro="">
        <xdr:nvCxnSpPr>
          <xdr:cNvPr id="3" name="Straight Arrow Connector 2">
            <a:extLst>
              <a:ext uri="{FF2B5EF4-FFF2-40B4-BE49-F238E27FC236}">
                <a16:creationId xmlns:a16="http://schemas.microsoft.com/office/drawing/2014/main" id="{00000000-0008-0000-1300-000003000000}"/>
              </a:ext>
            </a:extLst>
          </xdr:cNvPr>
          <xdr:cNvCxnSpPr/>
        </xdr:nvCxnSpPr>
        <xdr:spPr>
          <a:xfrm flipV="1">
            <a:off x="2583317" y="1291517"/>
            <a:ext cx="2387391" cy="16565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" name="Straight Arrow Connector 3">
            <a:extLst>
              <a:ext uri="{FF2B5EF4-FFF2-40B4-BE49-F238E27FC236}">
                <a16:creationId xmlns:a16="http://schemas.microsoft.com/office/drawing/2014/main" id="{00000000-0008-0000-1300-000004000000}"/>
              </a:ext>
            </a:extLst>
          </xdr:cNvPr>
          <xdr:cNvCxnSpPr/>
        </xdr:nvCxnSpPr>
        <xdr:spPr>
          <a:xfrm>
            <a:off x="2568466" y="1707931"/>
            <a:ext cx="3225362" cy="580640"/>
          </a:xfrm>
          <a:prstGeom prst="bentConnector3">
            <a:avLst>
              <a:gd name="adj1" fmla="val 50000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" name="Straight Arrow Connector 9">
            <a:extLst>
              <a:ext uri="{FF2B5EF4-FFF2-40B4-BE49-F238E27FC236}">
                <a16:creationId xmlns:a16="http://schemas.microsoft.com/office/drawing/2014/main" id="{00000000-0008-0000-1300-000005000000}"/>
              </a:ext>
            </a:extLst>
          </xdr:cNvPr>
          <xdr:cNvCxnSpPr/>
        </xdr:nvCxnSpPr>
        <xdr:spPr>
          <a:xfrm>
            <a:off x="1794184" y="723444"/>
            <a:ext cx="4662252" cy="1911283"/>
          </a:xfrm>
          <a:prstGeom prst="bentConnector3">
            <a:avLst>
              <a:gd name="adj1" fmla="val -1571"/>
            </a:avLst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" name="Straight Arrow Connector 5">
            <a:extLst>
              <a:ext uri="{FF2B5EF4-FFF2-40B4-BE49-F238E27FC236}">
                <a16:creationId xmlns:a16="http://schemas.microsoft.com/office/drawing/2014/main" id="{00000000-0008-0000-1300-000006000000}"/>
              </a:ext>
            </a:extLst>
          </xdr:cNvPr>
          <xdr:cNvCxnSpPr/>
        </xdr:nvCxnSpPr>
        <xdr:spPr>
          <a:xfrm>
            <a:off x="6945681" y="2180897"/>
            <a:ext cx="1" cy="40413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sk" displayName="sk" ref="A1:C16" totalsRowShown="0" headerRowDxfId="5" headerRowBorderDxfId="4" tableBorderDxfId="3">
  <autoFilter ref="A1:C16" xr:uid="{00000000-0009-0000-0100-000001000000}"/>
  <tableColumns count="3">
    <tableColumn id="1" xr3:uid="{00000000-0010-0000-0000-000001000000}" name="Employee Code" dataDxfId="2"/>
    <tableColumn id="2" xr3:uid="{00000000-0010-0000-0000-000002000000}" name="Designation" dataDxfId="1"/>
    <tableColumn id="3" xr3:uid="{00000000-0010-0000-0000-000003000000}" name="Salary" dataDxfId="0" dataCellStyle="Per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I13"/>
  <sheetViews>
    <sheetView tabSelected="1" zoomScale="175" zoomScaleNormal="175" workbookViewId="0">
      <selection activeCell="D2" sqref="D2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3.7109375" customWidth="1"/>
    <col min="8" max="8" width="10.85546875" bestFit="1" customWidth="1"/>
  </cols>
  <sheetData>
    <row r="1" spans="1:9" x14ac:dyDescent="0.25">
      <c r="A1" s="3" t="s">
        <v>31</v>
      </c>
      <c r="B1" s="3" t="s">
        <v>57</v>
      </c>
      <c r="C1" s="3" t="s">
        <v>58</v>
      </c>
      <c r="D1" s="3" t="s">
        <v>59</v>
      </c>
      <c r="H1" s="23" t="s">
        <v>112</v>
      </c>
      <c r="I1" s="23" t="s">
        <v>211</v>
      </c>
    </row>
    <row r="2" spans="1:9" x14ac:dyDescent="0.25">
      <c r="A2" s="2">
        <v>43739</v>
      </c>
      <c r="B2" s="1" t="s">
        <v>0</v>
      </c>
      <c r="C2" s="1">
        <v>15000</v>
      </c>
      <c r="D2" s="51"/>
      <c r="H2">
        <v>20000</v>
      </c>
      <c r="I2" t="s">
        <v>198</v>
      </c>
    </row>
    <row r="3" spans="1:9" x14ac:dyDescent="0.25">
      <c r="A3" s="2">
        <v>43740</v>
      </c>
      <c r="B3" s="1" t="s">
        <v>1</v>
      </c>
      <c r="C3" s="1">
        <v>16000</v>
      </c>
      <c r="D3" s="51"/>
      <c r="I3" t="s">
        <v>212</v>
      </c>
    </row>
    <row r="4" spans="1:9" x14ac:dyDescent="0.25">
      <c r="A4" s="2">
        <v>43741</v>
      </c>
      <c r="B4" s="1" t="s">
        <v>2</v>
      </c>
      <c r="C4" s="1">
        <v>18000</v>
      </c>
      <c r="D4" s="51"/>
    </row>
    <row r="5" spans="1:9" x14ac:dyDescent="0.25">
      <c r="A5" s="2">
        <v>43742</v>
      </c>
      <c r="B5" s="1" t="s">
        <v>3</v>
      </c>
      <c r="C5" s="1">
        <v>19000</v>
      </c>
      <c r="D5" s="51"/>
      <c r="H5" t="s">
        <v>240</v>
      </c>
      <c r="I5" s="25">
        <v>0.1</v>
      </c>
    </row>
    <row r="6" spans="1:9" x14ac:dyDescent="0.25">
      <c r="A6" s="2">
        <v>43743</v>
      </c>
      <c r="B6" s="1" t="s">
        <v>4</v>
      </c>
      <c r="C6" s="1">
        <v>25000</v>
      </c>
      <c r="D6" s="51"/>
      <c r="I6" s="25">
        <v>0.05</v>
      </c>
    </row>
    <row r="7" spans="1:9" x14ac:dyDescent="0.25">
      <c r="A7" s="2">
        <v>43744</v>
      </c>
      <c r="B7" s="1" t="s">
        <v>5</v>
      </c>
      <c r="C7" s="1">
        <v>22000</v>
      </c>
      <c r="D7" s="51"/>
    </row>
    <row r="8" spans="1:9" x14ac:dyDescent="0.25">
      <c r="A8" s="2">
        <v>43745</v>
      </c>
      <c r="B8" s="1" t="s">
        <v>6</v>
      </c>
      <c r="C8" s="1">
        <v>15000</v>
      </c>
      <c r="D8" s="51"/>
      <c r="H8" t="s">
        <v>241</v>
      </c>
      <c r="I8">
        <v>1000</v>
      </c>
    </row>
    <row r="9" spans="1:9" x14ac:dyDescent="0.25">
      <c r="A9" s="2">
        <v>43746</v>
      </c>
      <c r="B9" s="1" t="s">
        <v>8</v>
      </c>
      <c r="C9" s="1">
        <v>35000</v>
      </c>
      <c r="D9" s="51"/>
      <c r="I9">
        <v>500</v>
      </c>
    </row>
    <row r="10" spans="1:9" x14ac:dyDescent="0.25">
      <c r="A10" s="2">
        <v>43747</v>
      </c>
      <c r="B10" s="1" t="s">
        <v>7</v>
      </c>
      <c r="C10" s="1">
        <v>15000</v>
      </c>
      <c r="D10" s="51"/>
    </row>
    <row r="11" spans="1:9" x14ac:dyDescent="0.25">
      <c r="A11" s="2">
        <v>43748</v>
      </c>
      <c r="B11" s="1" t="s">
        <v>9</v>
      </c>
      <c r="C11" s="1">
        <v>35000</v>
      </c>
      <c r="D11" s="51"/>
    </row>
    <row r="12" spans="1:9" x14ac:dyDescent="0.25">
      <c r="A12" s="2">
        <v>43749</v>
      </c>
      <c r="B12" s="1" t="s">
        <v>10</v>
      </c>
      <c r="C12" s="1">
        <v>18000</v>
      </c>
      <c r="D12" s="51"/>
    </row>
    <row r="13" spans="1:9" x14ac:dyDescent="0.25">
      <c r="A13" s="2">
        <v>43750</v>
      </c>
      <c r="B13" s="1" t="s">
        <v>11</v>
      </c>
      <c r="C13" s="1">
        <v>21000</v>
      </c>
      <c r="D13" s="51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Q13"/>
  <sheetViews>
    <sheetView zoomScale="145" zoomScaleNormal="145" workbookViewId="0">
      <selection activeCell="E2" sqref="E2:E13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7" max="7" width="11.28515625" bestFit="1" customWidth="1"/>
    <col min="9" max="9" width="11.42578125" bestFit="1" customWidth="1"/>
  </cols>
  <sheetData>
    <row r="1" spans="1:17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</row>
    <row r="2" spans="1:17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P2" t="s">
        <v>213</v>
      </c>
      <c r="Q2" t="s">
        <v>214</v>
      </c>
    </row>
    <row r="3" spans="1:17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P3" t="s">
        <v>215</v>
      </c>
      <c r="Q3" t="s">
        <v>216</v>
      </c>
    </row>
    <row r="4" spans="1:17" x14ac:dyDescent="0.25">
      <c r="A4" s="2">
        <v>43741</v>
      </c>
      <c r="B4" s="1" t="s">
        <v>2</v>
      </c>
      <c r="C4" s="1" t="s">
        <v>61</v>
      </c>
      <c r="D4" s="1">
        <v>18000</v>
      </c>
      <c r="E4" s="1"/>
      <c r="I4" s="1" t="s">
        <v>61</v>
      </c>
      <c r="J4" s="1">
        <v>5000</v>
      </c>
      <c r="P4" t="s">
        <v>217</v>
      </c>
      <c r="Q4" t="s">
        <v>218</v>
      </c>
    </row>
    <row r="5" spans="1:17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I5" s="1"/>
      <c r="J5" s="1"/>
      <c r="Q5" t="s">
        <v>219</v>
      </c>
    </row>
    <row r="6" spans="1:17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I6" s="1" t="s">
        <v>62</v>
      </c>
      <c r="J6" s="1">
        <v>3000</v>
      </c>
    </row>
    <row r="7" spans="1:17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I7" s="1"/>
      <c r="J7" s="1"/>
    </row>
    <row r="8" spans="1:17" x14ac:dyDescent="0.25">
      <c r="A8" s="2">
        <v>43745</v>
      </c>
      <c r="B8" s="1" t="s">
        <v>6</v>
      </c>
      <c r="C8" s="1" t="s">
        <v>62</v>
      </c>
      <c r="D8" s="1">
        <v>15000</v>
      </c>
      <c r="E8" s="1"/>
      <c r="I8" s="1" t="s">
        <v>64</v>
      </c>
      <c r="J8" s="1">
        <v>2500</v>
      </c>
    </row>
    <row r="9" spans="1:17" x14ac:dyDescent="0.25">
      <c r="A9" s="2">
        <v>43746</v>
      </c>
      <c r="B9" s="1" t="s">
        <v>8</v>
      </c>
      <c r="C9" s="1" t="s">
        <v>239</v>
      </c>
      <c r="D9" s="1">
        <v>35000</v>
      </c>
      <c r="E9" s="1"/>
      <c r="I9" s="1"/>
      <c r="J9" s="1"/>
    </row>
    <row r="10" spans="1:17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  <c r="I10" s="1" t="s">
        <v>63</v>
      </c>
      <c r="J10" s="1">
        <v>2000</v>
      </c>
    </row>
    <row r="11" spans="1:17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7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7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13"/>
  <sheetViews>
    <sheetView zoomScale="175" zoomScaleNormal="175" workbookViewId="0">
      <selection activeCell="H8" sqref="H8"/>
    </sheetView>
  </sheetViews>
  <sheetFormatPr defaultRowHeight="15" x14ac:dyDescent="0.25"/>
  <cols>
    <col min="1" max="1" width="10.42578125" bestFit="1" customWidth="1"/>
    <col min="2" max="2" width="14.28515625" bestFit="1" customWidth="1"/>
    <col min="3" max="3" width="14.28515625" customWidth="1"/>
    <col min="4" max="4" width="13.7109375" customWidth="1"/>
    <col min="8" max="8" width="9.7109375" bestFit="1" customWidth="1"/>
  </cols>
  <sheetData>
    <row r="1" spans="1:10" x14ac:dyDescent="0.25">
      <c r="A1" s="3" t="s">
        <v>31</v>
      </c>
      <c r="B1" s="3" t="s">
        <v>57</v>
      </c>
      <c r="C1" s="3" t="s">
        <v>60</v>
      </c>
      <c r="D1" s="3" t="s">
        <v>58</v>
      </c>
      <c r="E1" s="3" t="s">
        <v>59</v>
      </c>
      <c r="F1" s="22"/>
      <c r="G1" s="24"/>
      <c r="H1" s="24" t="s">
        <v>60</v>
      </c>
      <c r="I1" s="24" t="s">
        <v>113</v>
      </c>
      <c r="J1" s="24" t="s">
        <v>238</v>
      </c>
    </row>
    <row r="2" spans="1:10" x14ac:dyDescent="0.25">
      <c r="A2" s="2">
        <v>43739</v>
      </c>
      <c r="B2" s="1" t="s">
        <v>0</v>
      </c>
      <c r="C2" s="1" t="s">
        <v>61</v>
      </c>
      <c r="D2" s="1">
        <v>15000</v>
      </c>
      <c r="E2" s="1"/>
      <c r="H2" t="s">
        <v>61</v>
      </c>
      <c r="I2" t="s">
        <v>114</v>
      </c>
      <c r="J2" t="s">
        <v>198</v>
      </c>
    </row>
    <row r="3" spans="1:10" x14ac:dyDescent="0.25">
      <c r="A3" s="2">
        <v>43740</v>
      </c>
      <c r="B3" s="1" t="s">
        <v>1</v>
      </c>
      <c r="C3" s="1" t="s">
        <v>62</v>
      </c>
      <c r="D3" s="1">
        <v>16000</v>
      </c>
      <c r="E3" s="1"/>
      <c r="J3" t="s">
        <v>199</v>
      </c>
    </row>
    <row r="4" spans="1:10" x14ac:dyDescent="0.25">
      <c r="A4" s="2">
        <v>43741</v>
      </c>
      <c r="B4" s="1" t="s">
        <v>2</v>
      </c>
      <c r="C4" s="1" t="s">
        <v>61</v>
      </c>
      <c r="D4" s="1">
        <v>18000</v>
      </c>
      <c r="E4" s="1"/>
    </row>
    <row r="5" spans="1:10" x14ac:dyDescent="0.25">
      <c r="A5" s="2">
        <v>43742</v>
      </c>
      <c r="B5" s="1" t="s">
        <v>3</v>
      </c>
      <c r="C5" s="1" t="s">
        <v>63</v>
      </c>
      <c r="D5" s="1">
        <v>19000</v>
      </c>
      <c r="E5" s="1"/>
      <c r="H5" t="s">
        <v>242</v>
      </c>
    </row>
    <row r="6" spans="1:10" x14ac:dyDescent="0.25">
      <c r="A6" s="2">
        <v>43743</v>
      </c>
      <c r="B6" s="1" t="s">
        <v>4</v>
      </c>
      <c r="C6" s="1" t="s">
        <v>64</v>
      </c>
      <c r="D6" s="1">
        <v>25000</v>
      </c>
      <c r="E6" s="1"/>
      <c r="H6" t="s">
        <v>243</v>
      </c>
    </row>
    <row r="7" spans="1:10" x14ac:dyDescent="0.25">
      <c r="A7" s="2">
        <v>43744</v>
      </c>
      <c r="B7" s="1" t="s">
        <v>5</v>
      </c>
      <c r="C7" s="1" t="s">
        <v>61</v>
      </c>
      <c r="D7" s="1">
        <v>22000</v>
      </c>
      <c r="E7" s="1"/>
      <c r="H7" t="s">
        <v>244</v>
      </c>
    </row>
    <row r="8" spans="1:10" x14ac:dyDescent="0.25">
      <c r="A8" s="2">
        <v>43745</v>
      </c>
      <c r="B8" s="1" t="s">
        <v>6</v>
      </c>
      <c r="C8" s="1" t="s">
        <v>62</v>
      </c>
      <c r="D8" s="1">
        <v>15000</v>
      </c>
      <c r="E8" s="1"/>
    </row>
    <row r="9" spans="1:10" x14ac:dyDescent="0.25">
      <c r="A9" s="2">
        <v>43746</v>
      </c>
      <c r="B9" s="1" t="s">
        <v>8</v>
      </c>
      <c r="C9" s="1" t="s">
        <v>61</v>
      </c>
      <c r="D9" s="1">
        <v>35000</v>
      </c>
      <c r="E9" s="1"/>
    </row>
    <row r="10" spans="1:10" x14ac:dyDescent="0.25">
      <c r="A10" s="2">
        <v>43747</v>
      </c>
      <c r="B10" s="1" t="s">
        <v>7</v>
      </c>
      <c r="C10" s="1" t="s">
        <v>64</v>
      </c>
      <c r="D10" s="1">
        <v>15000</v>
      </c>
      <c r="E10" s="1"/>
    </row>
    <row r="11" spans="1:10" x14ac:dyDescent="0.25">
      <c r="A11" s="2">
        <v>43748</v>
      </c>
      <c r="B11" s="1" t="s">
        <v>9</v>
      </c>
      <c r="C11" s="1" t="s">
        <v>64</v>
      </c>
      <c r="D11" s="1">
        <v>35000</v>
      </c>
      <c r="E11" s="1"/>
    </row>
    <row r="12" spans="1:10" x14ac:dyDescent="0.25">
      <c r="A12" s="2">
        <v>43749</v>
      </c>
      <c r="B12" s="1" t="s">
        <v>10</v>
      </c>
      <c r="C12" s="1" t="s">
        <v>64</v>
      </c>
      <c r="D12" s="1">
        <v>18000</v>
      </c>
      <c r="E12" s="1"/>
    </row>
    <row r="13" spans="1:10" x14ac:dyDescent="0.25">
      <c r="A13" s="2">
        <v>43750</v>
      </c>
      <c r="B13" s="1" t="s">
        <v>11</v>
      </c>
      <c r="C13" s="1" t="s">
        <v>64</v>
      </c>
      <c r="D13" s="1">
        <v>21000</v>
      </c>
      <c r="E13" s="1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W15"/>
  <sheetViews>
    <sheetView topLeftCell="B2" zoomScale="160" zoomScaleNormal="160" workbookViewId="0">
      <selection activeCell="X2" sqref="X2:Y7"/>
    </sheetView>
  </sheetViews>
  <sheetFormatPr defaultRowHeight="15" x14ac:dyDescent="0.25"/>
  <cols>
    <col min="1" max="1" width="10.42578125" bestFit="1" customWidth="1"/>
    <col min="2" max="2" width="14" bestFit="1" customWidth="1"/>
    <col min="3" max="21" width="2.7109375" customWidth="1"/>
    <col min="23" max="23" width="9.28515625" customWidth="1"/>
  </cols>
  <sheetData>
    <row r="1" spans="1:23" ht="15.75" thickBot="1" x14ac:dyDescent="0.3"/>
    <row r="2" spans="1:23" ht="15.75" thickBot="1" x14ac:dyDescent="0.3">
      <c r="A2">
        <f>COUNT(C3:T15)</f>
        <v>0</v>
      </c>
      <c r="C2" s="52" t="s">
        <v>40</v>
      </c>
      <c r="D2" s="53"/>
      <c r="E2" s="53"/>
      <c r="F2" s="53"/>
      <c r="G2" s="53"/>
      <c r="H2" s="53"/>
      <c r="I2" s="53"/>
      <c r="J2" s="53"/>
      <c r="K2" s="53"/>
      <c r="L2" s="53"/>
      <c r="M2" s="53"/>
      <c r="N2" s="53"/>
      <c r="O2" s="53"/>
      <c r="P2" s="53"/>
      <c r="Q2" s="53"/>
      <c r="R2" s="53"/>
      <c r="S2" s="53"/>
      <c r="T2" s="53"/>
      <c r="U2" s="54"/>
    </row>
    <row r="3" spans="1:23" x14ac:dyDescent="0.25">
      <c r="A3">
        <f>COUNTA(C3:U15,)</f>
        <v>137</v>
      </c>
      <c r="C3" s="5" t="s">
        <v>45</v>
      </c>
      <c r="D3" s="5" t="s">
        <v>45</v>
      </c>
      <c r="E3" s="5" t="s">
        <v>45</v>
      </c>
      <c r="F3" s="5" t="s">
        <v>45</v>
      </c>
      <c r="G3" s="5" t="s">
        <v>45</v>
      </c>
      <c r="H3" s="5" t="s">
        <v>45</v>
      </c>
      <c r="I3" s="5" t="s">
        <v>45</v>
      </c>
      <c r="J3" s="5" t="s">
        <v>45</v>
      </c>
      <c r="K3" s="5" t="s">
        <v>45</v>
      </c>
      <c r="L3" s="5" t="s">
        <v>45</v>
      </c>
      <c r="M3" s="5" t="s">
        <v>45</v>
      </c>
      <c r="N3" s="5" t="s">
        <v>45</v>
      </c>
      <c r="O3" s="5" t="s">
        <v>45</v>
      </c>
      <c r="P3" s="5" t="s">
        <v>45</v>
      </c>
      <c r="Q3" s="5" t="s">
        <v>45</v>
      </c>
      <c r="R3" s="5" t="s">
        <v>45</v>
      </c>
      <c r="S3" s="5" t="s">
        <v>45</v>
      </c>
      <c r="T3" s="5" t="s">
        <v>45</v>
      </c>
      <c r="U3" s="5" t="s">
        <v>45</v>
      </c>
      <c r="W3" t="s">
        <v>41</v>
      </c>
    </row>
    <row r="4" spans="1:23" x14ac:dyDescent="0.25">
      <c r="C4" s="1" t="s">
        <v>46</v>
      </c>
      <c r="D4" s="1" t="s">
        <v>46</v>
      </c>
      <c r="E4" s="1" t="s">
        <v>46</v>
      </c>
      <c r="F4" s="1" t="s">
        <v>46</v>
      </c>
      <c r="G4" s="1"/>
      <c r="H4" s="1"/>
      <c r="I4" s="1"/>
      <c r="J4" s="1"/>
      <c r="K4" s="1" t="s">
        <v>46</v>
      </c>
      <c r="L4" s="1" t="s">
        <v>46</v>
      </c>
      <c r="M4" s="1" t="s">
        <v>46</v>
      </c>
      <c r="N4" s="1"/>
      <c r="O4" s="1"/>
      <c r="P4" s="1"/>
      <c r="Q4" s="1"/>
      <c r="R4" s="1"/>
      <c r="S4" s="1" t="s">
        <v>46</v>
      </c>
      <c r="T4" s="1" t="s">
        <v>46</v>
      </c>
      <c r="U4" s="1" t="s">
        <v>46</v>
      </c>
      <c r="W4" t="s">
        <v>42</v>
      </c>
    </row>
    <row r="5" spans="1:23" x14ac:dyDescent="0.25">
      <c r="C5" s="1" t="s">
        <v>45</v>
      </c>
      <c r="D5" s="1" t="s">
        <v>45</v>
      </c>
      <c r="E5" s="1" t="s">
        <v>45</v>
      </c>
      <c r="F5" s="1" t="s">
        <v>45</v>
      </c>
      <c r="G5" s="1"/>
      <c r="H5" s="1"/>
      <c r="I5" s="1"/>
      <c r="J5" s="1"/>
      <c r="K5" s="1" t="s">
        <v>45</v>
      </c>
      <c r="L5" s="1" t="s">
        <v>45</v>
      </c>
      <c r="M5" s="1" t="s">
        <v>45</v>
      </c>
      <c r="N5" s="1"/>
      <c r="O5" s="1" t="s">
        <v>46</v>
      </c>
      <c r="P5" s="1"/>
      <c r="Q5" s="1"/>
      <c r="R5" s="1"/>
      <c r="S5" s="1" t="s">
        <v>45</v>
      </c>
      <c r="T5" s="1" t="s">
        <v>45</v>
      </c>
      <c r="U5" s="1" t="s">
        <v>45</v>
      </c>
    </row>
    <row r="6" spans="1:23" x14ac:dyDescent="0.25">
      <c r="C6" s="1" t="s">
        <v>46</v>
      </c>
      <c r="D6" s="1" t="s">
        <v>46</v>
      </c>
      <c r="E6" s="1" t="s">
        <v>46</v>
      </c>
      <c r="F6" s="1" t="s">
        <v>46</v>
      </c>
      <c r="G6" s="1"/>
      <c r="H6" s="1"/>
      <c r="I6" s="1"/>
      <c r="J6" s="1"/>
      <c r="K6" s="1" t="s">
        <v>46</v>
      </c>
      <c r="L6" s="1" t="s">
        <v>46</v>
      </c>
      <c r="M6" s="1" t="s">
        <v>46</v>
      </c>
      <c r="N6" s="1"/>
      <c r="O6" s="1" t="s">
        <v>45</v>
      </c>
      <c r="P6" s="1"/>
      <c r="Q6" s="1" t="s">
        <v>46</v>
      </c>
      <c r="R6" s="1"/>
      <c r="S6" s="1"/>
      <c r="T6" s="1" t="s">
        <v>46</v>
      </c>
      <c r="U6" s="1" t="s">
        <v>46</v>
      </c>
      <c r="W6" t="s">
        <v>43</v>
      </c>
    </row>
    <row r="7" spans="1:23" x14ac:dyDescent="0.25">
      <c r="C7" s="1" t="s">
        <v>45</v>
      </c>
      <c r="D7" s="1" t="s">
        <v>45</v>
      </c>
      <c r="E7" s="1" t="s">
        <v>45</v>
      </c>
      <c r="F7" s="1" t="s">
        <v>45</v>
      </c>
      <c r="G7" s="1"/>
      <c r="H7" s="1"/>
      <c r="I7" s="1"/>
      <c r="J7" s="1"/>
      <c r="K7" s="1" t="s">
        <v>45</v>
      </c>
      <c r="L7" s="1"/>
      <c r="M7" s="1"/>
      <c r="N7" s="1"/>
      <c r="O7" s="1"/>
      <c r="P7" s="1"/>
      <c r="Q7" s="1" t="s">
        <v>45</v>
      </c>
      <c r="R7" s="1"/>
      <c r="S7" s="1"/>
      <c r="T7" s="1" t="s">
        <v>45</v>
      </c>
      <c r="U7" s="1" t="s">
        <v>45</v>
      </c>
      <c r="W7" t="s">
        <v>44</v>
      </c>
    </row>
    <row r="8" spans="1:23" x14ac:dyDescent="0.25">
      <c r="C8" s="1" t="s">
        <v>45</v>
      </c>
      <c r="D8" s="1" t="s">
        <v>45</v>
      </c>
      <c r="E8" s="1" t="s">
        <v>45</v>
      </c>
      <c r="F8" s="1" t="s">
        <v>45</v>
      </c>
      <c r="G8" s="1" t="s">
        <v>45</v>
      </c>
      <c r="H8" s="1" t="s">
        <v>45</v>
      </c>
      <c r="I8" s="1" t="s">
        <v>45</v>
      </c>
      <c r="J8" s="1" t="s">
        <v>45</v>
      </c>
      <c r="K8" s="1" t="s">
        <v>45</v>
      </c>
      <c r="L8" s="1"/>
      <c r="M8" s="1"/>
      <c r="N8" s="1"/>
      <c r="O8" s="1"/>
      <c r="P8" s="1" t="s">
        <v>45</v>
      </c>
      <c r="Q8" s="1" t="s">
        <v>45</v>
      </c>
      <c r="R8" s="1"/>
      <c r="S8" s="1"/>
      <c r="T8" s="1" t="s">
        <v>45</v>
      </c>
      <c r="U8" s="1" t="s">
        <v>45</v>
      </c>
    </row>
    <row r="9" spans="1:23" x14ac:dyDescent="0.25">
      <c r="C9" s="1" t="s">
        <v>45</v>
      </c>
      <c r="D9" s="1" t="s">
        <v>45</v>
      </c>
      <c r="E9" s="1" t="s">
        <v>45</v>
      </c>
      <c r="F9" s="1" t="s">
        <v>45</v>
      </c>
      <c r="G9" s="1" t="s">
        <v>45</v>
      </c>
      <c r="H9" s="1" t="s">
        <v>45</v>
      </c>
      <c r="I9" s="1" t="s">
        <v>45</v>
      </c>
      <c r="J9" s="1" t="s">
        <v>45</v>
      </c>
      <c r="K9" s="1" t="s">
        <v>45</v>
      </c>
      <c r="L9" s="1"/>
      <c r="M9" s="1"/>
      <c r="N9" s="1"/>
      <c r="O9" s="1"/>
      <c r="P9" s="1" t="s">
        <v>45</v>
      </c>
      <c r="Q9" s="1" t="s">
        <v>45</v>
      </c>
      <c r="R9" s="1"/>
      <c r="S9" s="1"/>
      <c r="T9" s="1" t="s">
        <v>45</v>
      </c>
      <c r="U9" s="1" t="s">
        <v>45</v>
      </c>
    </row>
    <row r="10" spans="1:23" x14ac:dyDescent="0.25">
      <c r="C10" s="1" t="s">
        <v>45</v>
      </c>
      <c r="D10" s="1" t="s">
        <v>45</v>
      </c>
      <c r="E10" s="1" t="s">
        <v>45</v>
      </c>
      <c r="F10" s="1" t="s">
        <v>45</v>
      </c>
      <c r="G10" s="1" t="s">
        <v>45</v>
      </c>
      <c r="H10" s="1" t="s">
        <v>45</v>
      </c>
      <c r="I10" s="1" t="s">
        <v>45</v>
      </c>
      <c r="J10" s="1" t="s">
        <v>45</v>
      </c>
      <c r="K10" s="1" t="s">
        <v>45</v>
      </c>
      <c r="L10" s="1" t="s">
        <v>45</v>
      </c>
      <c r="M10" s="1" t="s">
        <v>45</v>
      </c>
      <c r="N10" s="1" t="s">
        <v>45</v>
      </c>
      <c r="O10" s="1" t="s">
        <v>45</v>
      </c>
      <c r="P10" s="1" t="s">
        <v>45</v>
      </c>
      <c r="Q10" s="1" t="s">
        <v>45</v>
      </c>
      <c r="R10" s="1"/>
      <c r="S10" s="1"/>
      <c r="T10" s="1" t="s">
        <v>45</v>
      </c>
      <c r="U10" s="1" t="s">
        <v>45</v>
      </c>
    </row>
    <row r="11" spans="1:23" x14ac:dyDescent="0.25">
      <c r="C11" s="1" t="s">
        <v>46</v>
      </c>
      <c r="D11" s="1" t="s">
        <v>46</v>
      </c>
      <c r="E11" s="1"/>
      <c r="F11" s="1"/>
      <c r="G11" s="1"/>
      <c r="H11" s="1"/>
      <c r="I11" s="1"/>
      <c r="J11" s="1"/>
      <c r="K11" s="1"/>
      <c r="L11" s="1" t="s">
        <v>46</v>
      </c>
      <c r="M11" s="1" t="s">
        <v>46</v>
      </c>
      <c r="N11" s="1" t="s">
        <v>46</v>
      </c>
      <c r="O11" s="1" t="s">
        <v>46</v>
      </c>
      <c r="P11" s="1" t="s">
        <v>46</v>
      </c>
      <c r="Q11" s="1" t="s">
        <v>46</v>
      </c>
      <c r="R11" s="1"/>
      <c r="S11" s="1"/>
      <c r="T11" s="1" t="s">
        <v>46</v>
      </c>
      <c r="U11" s="1" t="s">
        <v>46</v>
      </c>
    </row>
    <row r="12" spans="1:23" x14ac:dyDescent="0.25">
      <c r="C12" s="1" t="s">
        <v>46</v>
      </c>
      <c r="D12" s="1" t="s">
        <v>46</v>
      </c>
      <c r="E12" s="1"/>
      <c r="F12" s="1"/>
      <c r="G12" s="1"/>
      <c r="H12" s="1"/>
      <c r="I12" s="1"/>
      <c r="J12" s="1"/>
      <c r="K12" s="1"/>
      <c r="L12" s="1" t="s">
        <v>46</v>
      </c>
      <c r="M12" s="1" t="s">
        <v>46</v>
      </c>
      <c r="N12" s="1"/>
      <c r="O12" s="1"/>
      <c r="P12" s="1"/>
      <c r="Q12" s="1"/>
      <c r="R12" s="1"/>
      <c r="S12" s="1"/>
      <c r="T12" s="1" t="s">
        <v>46</v>
      </c>
      <c r="U12" s="1" t="s">
        <v>46</v>
      </c>
    </row>
    <row r="13" spans="1:23" x14ac:dyDescent="0.25">
      <c r="C13" s="1" t="s">
        <v>46</v>
      </c>
      <c r="D13" s="1" t="s">
        <v>46</v>
      </c>
      <c r="E13" s="1"/>
      <c r="F13" s="1"/>
      <c r="G13" s="1"/>
      <c r="H13" s="1"/>
      <c r="I13" s="1"/>
      <c r="J13" s="1"/>
      <c r="K13" s="1"/>
      <c r="L13" s="1" t="s">
        <v>46</v>
      </c>
      <c r="M13" s="1" t="s">
        <v>46</v>
      </c>
      <c r="N13" s="1"/>
      <c r="O13" s="1"/>
      <c r="P13" s="1"/>
      <c r="Q13" s="1"/>
      <c r="R13" s="1"/>
      <c r="S13" s="1"/>
      <c r="T13" s="1" t="s">
        <v>46</v>
      </c>
      <c r="U13" s="1" t="s">
        <v>46</v>
      </c>
    </row>
    <row r="14" spans="1:23" x14ac:dyDescent="0.25">
      <c r="C14" s="1" t="s">
        <v>46</v>
      </c>
      <c r="D14" s="1" t="s">
        <v>46</v>
      </c>
      <c r="E14" s="1"/>
      <c r="F14" s="1"/>
      <c r="G14" s="1"/>
      <c r="H14" s="1"/>
      <c r="I14" s="1"/>
      <c r="J14" s="1"/>
      <c r="K14" s="1"/>
      <c r="L14" s="1" t="s">
        <v>46</v>
      </c>
      <c r="M14" s="1" t="s">
        <v>46</v>
      </c>
      <c r="N14" s="1"/>
      <c r="O14" s="1"/>
      <c r="P14" s="1"/>
      <c r="Q14" s="1"/>
      <c r="R14" s="1"/>
      <c r="S14" s="1"/>
      <c r="T14" s="1" t="s">
        <v>46</v>
      </c>
      <c r="U14" s="1" t="s">
        <v>46</v>
      </c>
    </row>
    <row r="15" spans="1:23" x14ac:dyDescent="0.25">
      <c r="C15" s="1" t="s">
        <v>46</v>
      </c>
      <c r="D15" s="1" t="s">
        <v>46</v>
      </c>
      <c r="E15" s="1"/>
      <c r="F15" s="1"/>
      <c r="G15" s="1"/>
      <c r="H15" s="1"/>
      <c r="I15" s="1"/>
      <c r="J15" s="1"/>
      <c r="K15" s="1"/>
      <c r="L15" s="1" t="s">
        <v>46</v>
      </c>
      <c r="M15" s="1" t="s">
        <v>46</v>
      </c>
      <c r="N15" s="1"/>
      <c r="O15" s="1"/>
      <c r="P15" s="1"/>
      <c r="Q15" s="1"/>
      <c r="R15" s="1"/>
      <c r="S15" s="1"/>
      <c r="T15" s="1" t="s">
        <v>46</v>
      </c>
      <c r="U15" s="1" t="s">
        <v>46</v>
      </c>
    </row>
  </sheetData>
  <mergeCells count="1">
    <mergeCell ref="C2:U2"/>
  </mergeCells>
  <conditionalFormatting sqref="C3:U15">
    <cfRule type="cellIs" dxfId="7" priority="1" operator="equal">
      <formula>"M"</formula>
    </cfRule>
    <cfRule type="cellIs" dxfId="6" priority="2" operator="equal">
      <formula>"F"</formula>
    </cfRule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29"/>
  <sheetViews>
    <sheetView topLeftCell="A7" zoomScale="175" zoomScaleNormal="175" workbookViewId="0">
      <selection activeCell="C3" sqref="C3:C16"/>
    </sheetView>
  </sheetViews>
  <sheetFormatPr defaultRowHeight="15" x14ac:dyDescent="0.25"/>
  <cols>
    <col min="1" max="1" width="13.85546875" bestFit="1" customWidth="1"/>
    <col min="2" max="2" width="17" bestFit="1" customWidth="1"/>
    <col min="3" max="3" width="11.42578125" bestFit="1" customWidth="1"/>
    <col min="5" max="5" width="17" bestFit="1" customWidth="1"/>
  </cols>
  <sheetData>
    <row r="1" spans="1:7" x14ac:dyDescent="0.25">
      <c r="A1" s="45" t="s">
        <v>13</v>
      </c>
      <c r="B1" s="46" t="s">
        <v>14</v>
      </c>
      <c r="C1" s="47" t="s">
        <v>15</v>
      </c>
      <c r="E1" s="1" t="s">
        <v>17</v>
      </c>
    </row>
    <row r="2" spans="1:7" x14ac:dyDescent="0.25">
      <c r="A2" s="15" t="s">
        <v>20</v>
      </c>
      <c r="B2" s="1" t="s">
        <v>21</v>
      </c>
      <c r="C2" s="28">
        <v>34133</v>
      </c>
      <c r="E2" s="1" t="s">
        <v>19</v>
      </c>
    </row>
    <row r="3" spans="1:7" x14ac:dyDescent="0.25">
      <c r="A3" s="15" t="s">
        <v>25</v>
      </c>
      <c r="B3" s="1" t="s">
        <v>21</v>
      </c>
      <c r="C3" s="28">
        <v>30861</v>
      </c>
      <c r="E3" s="1" t="s">
        <v>21</v>
      </c>
    </row>
    <row r="4" spans="1:7" x14ac:dyDescent="0.25">
      <c r="A4" s="15" t="s">
        <v>24</v>
      </c>
      <c r="B4" s="1" t="s">
        <v>19</v>
      </c>
      <c r="C4" s="28">
        <v>26895</v>
      </c>
    </row>
    <row r="5" spans="1:7" x14ac:dyDescent="0.25">
      <c r="A5" s="15" t="s">
        <v>22</v>
      </c>
      <c r="B5" s="1" t="s">
        <v>17</v>
      </c>
      <c r="C5" s="28">
        <v>29264</v>
      </c>
    </row>
    <row r="6" spans="1:7" x14ac:dyDescent="0.25">
      <c r="A6" s="15" t="s">
        <v>27</v>
      </c>
      <c r="B6" s="1" t="s">
        <v>17</v>
      </c>
      <c r="C6" s="28">
        <v>36505</v>
      </c>
    </row>
    <row r="7" spans="1:7" x14ac:dyDescent="0.25">
      <c r="A7" s="15" t="s">
        <v>18</v>
      </c>
      <c r="B7" s="1" t="s">
        <v>19</v>
      </c>
      <c r="C7" s="28">
        <v>30041</v>
      </c>
      <c r="G7" s="27"/>
    </row>
    <row r="8" spans="1:7" x14ac:dyDescent="0.25">
      <c r="A8" s="15" t="s">
        <v>16</v>
      </c>
      <c r="B8" s="1" t="s">
        <v>17</v>
      </c>
      <c r="C8" s="28">
        <v>34141</v>
      </c>
    </row>
    <row r="9" spans="1:7" x14ac:dyDescent="0.25">
      <c r="A9" s="15" t="s">
        <v>23</v>
      </c>
      <c r="B9" s="1" t="s">
        <v>17</v>
      </c>
      <c r="C9" s="28">
        <v>32914</v>
      </c>
    </row>
    <row r="10" spans="1:7" x14ac:dyDescent="0.25">
      <c r="A10" s="15" t="s">
        <v>26</v>
      </c>
      <c r="B10" s="1" t="s">
        <v>17</v>
      </c>
      <c r="C10" s="28">
        <v>37908</v>
      </c>
    </row>
    <row r="11" spans="1:7" x14ac:dyDescent="0.25">
      <c r="A11" s="15" t="s">
        <v>29</v>
      </c>
      <c r="B11" s="1" t="s">
        <v>21</v>
      </c>
      <c r="C11" s="28">
        <v>28875</v>
      </c>
    </row>
    <row r="12" spans="1:7" x14ac:dyDescent="0.25">
      <c r="A12" s="15" t="s">
        <v>30</v>
      </c>
      <c r="B12" s="1" t="s">
        <v>17</v>
      </c>
      <c r="C12" s="28">
        <v>36135</v>
      </c>
    </row>
    <row r="13" spans="1:7" x14ac:dyDescent="0.25">
      <c r="A13" s="15" t="s">
        <v>28</v>
      </c>
      <c r="B13" s="1" t="s">
        <v>19</v>
      </c>
      <c r="C13" s="28">
        <v>31711</v>
      </c>
    </row>
    <row r="14" spans="1:7" x14ac:dyDescent="0.25">
      <c r="A14" s="44" t="s">
        <v>200</v>
      </c>
      <c r="B14" s="21" t="s">
        <v>17</v>
      </c>
      <c r="C14" s="28">
        <v>38791</v>
      </c>
    </row>
    <row r="15" spans="1:7" x14ac:dyDescent="0.25">
      <c r="A15" s="44" t="s">
        <v>201</v>
      </c>
      <c r="B15" s="21" t="s">
        <v>21</v>
      </c>
      <c r="C15" s="28">
        <v>38598</v>
      </c>
    </row>
    <row r="16" spans="1:7" x14ac:dyDescent="0.25">
      <c r="A16" s="48" t="s">
        <v>202</v>
      </c>
      <c r="B16" s="49" t="s">
        <v>21</v>
      </c>
      <c r="C16" s="28">
        <v>27678</v>
      </c>
    </row>
    <row r="18" spans="3:7" x14ac:dyDescent="0.25">
      <c r="C18" s="29"/>
      <c r="D18" s="32"/>
      <c r="G18" s="31"/>
    </row>
    <row r="19" spans="3:7" x14ac:dyDescent="0.25">
      <c r="C19" s="29"/>
      <c r="D19" s="32"/>
      <c r="G19" s="31"/>
    </row>
    <row r="20" spans="3:7" x14ac:dyDescent="0.25">
      <c r="C20" s="29"/>
      <c r="D20" s="32"/>
      <c r="E20" s="30"/>
      <c r="G20" s="31"/>
    </row>
    <row r="21" spans="3:7" x14ac:dyDescent="0.25">
      <c r="C21" s="29"/>
      <c r="D21" s="32"/>
      <c r="E21" s="30"/>
      <c r="G21" s="31"/>
    </row>
    <row r="22" spans="3:7" x14ac:dyDescent="0.25">
      <c r="C22" s="29"/>
      <c r="D22" s="32"/>
      <c r="E22" s="30"/>
      <c r="G22" s="31"/>
    </row>
    <row r="23" spans="3:7" x14ac:dyDescent="0.25">
      <c r="C23" s="29"/>
      <c r="D23" s="32"/>
      <c r="E23" s="30"/>
      <c r="G23" s="31"/>
    </row>
    <row r="24" spans="3:7" x14ac:dyDescent="0.25">
      <c r="C24" s="29"/>
      <c r="D24" s="33"/>
      <c r="E24" s="30"/>
      <c r="G24" s="31"/>
    </row>
    <row r="25" spans="3:7" x14ac:dyDescent="0.25">
      <c r="C25" s="29"/>
      <c r="D25" s="33"/>
      <c r="E25" s="30"/>
      <c r="G25" s="31"/>
    </row>
    <row r="26" spans="3:7" x14ac:dyDescent="0.25">
      <c r="C26" s="29"/>
      <c r="D26" s="33"/>
      <c r="E26" s="30"/>
      <c r="G26" s="31"/>
    </row>
    <row r="27" spans="3:7" x14ac:dyDescent="0.25">
      <c r="D27" s="33"/>
      <c r="E27" s="30"/>
      <c r="G27" s="31"/>
    </row>
    <row r="28" spans="3:7" x14ac:dyDescent="0.25">
      <c r="D28" s="33"/>
    </row>
    <row r="29" spans="3:7" x14ac:dyDescent="0.25">
      <c r="D29" s="33"/>
    </row>
  </sheetData>
  <sortState ref="A2:C13">
    <sortCondition ref="B2"/>
  </sortState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9"/>
  <sheetViews>
    <sheetView topLeftCell="A4" zoomScale="175" zoomScaleNormal="175" workbookViewId="0">
      <selection activeCell="F7" sqref="F7:G15"/>
    </sheetView>
  </sheetViews>
  <sheetFormatPr defaultRowHeight="15" x14ac:dyDescent="0.25"/>
  <cols>
    <col min="1" max="1" width="14.140625" bestFit="1" customWidth="1"/>
    <col min="2" max="2" width="14" bestFit="1" customWidth="1"/>
    <col min="3" max="3" width="11.5703125" customWidth="1"/>
    <col min="6" max="6" width="10.28515625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43740</v>
      </c>
      <c r="B2" s="1" t="s">
        <v>35</v>
      </c>
      <c r="C2" s="1" t="s">
        <v>38</v>
      </c>
      <c r="D2" s="1">
        <v>6000</v>
      </c>
      <c r="F2" s="1" t="s">
        <v>34</v>
      </c>
      <c r="G2" s="1"/>
      <c r="H2" s="1"/>
    </row>
    <row r="3" spans="1:8" x14ac:dyDescent="0.25">
      <c r="A3" s="2">
        <v>43745</v>
      </c>
      <c r="B3" s="1" t="s">
        <v>35</v>
      </c>
      <c r="C3" s="1" t="s">
        <v>38</v>
      </c>
      <c r="D3" s="1">
        <v>4500</v>
      </c>
      <c r="F3" s="1" t="s">
        <v>35</v>
      </c>
      <c r="G3" s="1"/>
      <c r="H3" s="1"/>
    </row>
    <row r="4" spans="1:8" x14ac:dyDescent="0.25">
      <c r="A4" s="2">
        <v>43746</v>
      </c>
      <c r="B4" s="1" t="s">
        <v>35</v>
      </c>
      <c r="C4" s="1" t="s">
        <v>38</v>
      </c>
      <c r="D4" s="1">
        <v>600</v>
      </c>
      <c r="F4" s="1" t="s">
        <v>108</v>
      </c>
      <c r="G4" s="1"/>
      <c r="H4" s="1"/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43750</v>
      </c>
      <c r="B6" s="1" t="s">
        <v>36</v>
      </c>
      <c r="C6" s="1" t="s">
        <v>38</v>
      </c>
      <c r="D6" s="1">
        <v>2560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  <c r="F7" s="3" t="s">
        <v>32</v>
      </c>
      <c r="G7" s="3" t="s">
        <v>12</v>
      </c>
    </row>
    <row r="8" spans="1:8" x14ac:dyDescent="0.25">
      <c r="A8" s="2">
        <v>43747</v>
      </c>
      <c r="B8" s="1" t="s">
        <v>36</v>
      </c>
      <c r="C8" s="1" t="s">
        <v>37</v>
      </c>
      <c r="D8" s="1">
        <v>1500</v>
      </c>
      <c r="F8" s="1" t="s">
        <v>34</v>
      </c>
      <c r="G8" s="1"/>
    </row>
    <row r="9" spans="1:8" x14ac:dyDescent="0.25">
      <c r="A9" s="2">
        <v>43748</v>
      </c>
      <c r="B9" s="1" t="s">
        <v>36</v>
      </c>
      <c r="C9" s="1" t="s">
        <v>37</v>
      </c>
      <c r="D9" s="1">
        <v>1450</v>
      </c>
      <c r="F9" s="1" t="s">
        <v>35</v>
      </c>
      <c r="G9" s="1"/>
    </row>
    <row r="10" spans="1:8" x14ac:dyDescent="0.25">
      <c r="A10" s="2">
        <v>43743</v>
      </c>
      <c r="B10" s="1" t="s">
        <v>34</v>
      </c>
      <c r="C10" s="1" t="s">
        <v>38</v>
      </c>
      <c r="D10" s="1">
        <v>4500</v>
      </c>
      <c r="F10" s="1" t="s">
        <v>108</v>
      </c>
      <c r="G10" s="1"/>
    </row>
    <row r="11" spans="1:8" x14ac:dyDescent="0.25">
      <c r="A11" s="2">
        <v>43749</v>
      </c>
      <c r="B11" s="1" t="s">
        <v>34</v>
      </c>
      <c r="C11" s="1" t="s">
        <v>38</v>
      </c>
      <c r="D11" s="1">
        <v>650</v>
      </c>
    </row>
    <row r="12" spans="1:8" x14ac:dyDescent="0.25">
      <c r="A12" s="2">
        <v>43739</v>
      </c>
      <c r="B12" s="1" t="s">
        <v>203</v>
      </c>
      <c r="C12" s="1" t="s">
        <v>37</v>
      </c>
      <c r="D12" s="1">
        <v>5000</v>
      </c>
    </row>
    <row r="13" spans="1:8" x14ac:dyDescent="0.25">
      <c r="A13" s="2">
        <v>43741</v>
      </c>
      <c r="B13" s="1" t="s">
        <v>34</v>
      </c>
      <c r="C13" s="1" t="s">
        <v>37</v>
      </c>
      <c r="D13" s="1">
        <v>4500</v>
      </c>
      <c r="F13" s="3" t="s">
        <v>33</v>
      </c>
      <c r="G13" s="3" t="s">
        <v>12</v>
      </c>
    </row>
    <row r="14" spans="1:8" x14ac:dyDescent="0.25">
      <c r="F14" s="1" t="s">
        <v>37</v>
      </c>
    </row>
    <row r="15" spans="1:8" x14ac:dyDescent="0.25">
      <c r="F15" s="1" t="s">
        <v>38</v>
      </c>
    </row>
    <row r="17" spans="6:7" x14ac:dyDescent="0.25">
      <c r="G17" s="25"/>
    </row>
    <row r="18" spans="6:7" x14ac:dyDescent="0.25">
      <c r="F18" s="25"/>
    </row>
    <row r="39" spans="3:6" x14ac:dyDescent="0.25">
      <c r="C39" s="26"/>
      <c r="D39" s="26"/>
      <c r="E39" s="26"/>
      <c r="F39" s="26"/>
    </row>
  </sheetData>
  <sortState ref="A2:D13">
    <sortCondition ref="B2:B13"/>
    <sortCondition ref="C2:C13"/>
    <sortCondition descending="1" ref="D2:D13"/>
  </sortState>
  <pageMargins left="0.7" right="0.7" top="0.75" bottom="0.75" header="0.3" footer="0.3"/>
  <pageSetup paperSize="9" orientation="portrait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40"/>
  <sheetViews>
    <sheetView zoomScale="160" zoomScaleNormal="160" workbookViewId="0">
      <selection activeCell="I8" sqref="I8"/>
    </sheetView>
  </sheetViews>
  <sheetFormatPr defaultRowHeight="15" x14ac:dyDescent="0.25"/>
  <cols>
    <col min="1" max="1" width="10.42578125" bestFit="1" customWidth="1"/>
    <col min="2" max="2" width="17.28515625" bestFit="1" customWidth="1"/>
    <col min="3" max="3" width="11" bestFit="1" customWidth="1"/>
    <col min="4" max="4" width="10.5703125" bestFit="1" customWidth="1"/>
    <col min="5" max="5" width="7.42578125" bestFit="1" customWidth="1"/>
    <col min="6" max="6" width="11" bestFit="1" customWidth="1"/>
    <col min="7" max="7" width="10.28515625" bestFit="1" customWidth="1"/>
  </cols>
  <sheetData>
    <row r="1" spans="1:8" x14ac:dyDescent="0.25">
      <c r="A1" s="1" t="s">
        <v>31</v>
      </c>
      <c r="B1" s="1" t="s">
        <v>32</v>
      </c>
      <c r="C1" s="1" t="s">
        <v>33</v>
      </c>
      <c r="D1" s="1" t="s">
        <v>12</v>
      </c>
      <c r="F1" s="4" t="s">
        <v>39</v>
      </c>
      <c r="G1" s="3" t="s">
        <v>109</v>
      </c>
      <c r="H1" s="3"/>
    </row>
    <row r="2" spans="1:8" x14ac:dyDescent="0.25">
      <c r="A2" s="2">
        <v>43746</v>
      </c>
      <c r="B2" s="7" t="s">
        <v>35</v>
      </c>
      <c r="C2" s="1" t="s">
        <v>38</v>
      </c>
      <c r="D2" s="40">
        <v>600</v>
      </c>
      <c r="F2" s="1" t="s">
        <v>34</v>
      </c>
      <c r="G2" s="1"/>
      <c r="H2" s="1"/>
    </row>
    <row r="3" spans="1:8" x14ac:dyDescent="0.25">
      <c r="A3" s="2">
        <v>43745</v>
      </c>
      <c r="B3" s="7" t="s">
        <v>35</v>
      </c>
      <c r="C3" s="1" t="s">
        <v>38</v>
      </c>
      <c r="D3" s="40">
        <v>4500</v>
      </c>
      <c r="F3" s="1" t="s">
        <v>35</v>
      </c>
      <c r="G3" s="1"/>
      <c r="H3" s="1"/>
    </row>
    <row r="4" spans="1:8" x14ac:dyDescent="0.25">
      <c r="A4" s="2">
        <v>43740</v>
      </c>
      <c r="B4" s="7" t="s">
        <v>35</v>
      </c>
      <c r="C4" s="1" t="s">
        <v>38</v>
      </c>
      <c r="D4" s="40">
        <v>6000</v>
      </c>
      <c r="F4" s="1" t="s">
        <v>108</v>
      </c>
      <c r="G4" s="1"/>
      <c r="H4" s="1"/>
    </row>
    <row r="5" spans="1:8" x14ac:dyDescent="0.25">
      <c r="A5" s="2">
        <v>43742</v>
      </c>
      <c r="B5" s="7" t="s">
        <v>35</v>
      </c>
      <c r="C5" s="1" t="s">
        <v>37</v>
      </c>
      <c r="D5" s="40">
        <v>6500</v>
      </c>
    </row>
    <row r="6" spans="1:8" x14ac:dyDescent="0.25">
      <c r="A6" s="2">
        <v>43748</v>
      </c>
      <c r="B6" s="7" t="s">
        <v>36</v>
      </c>
      <c r="C6" s="1" t="s">
        <v>37</v>
      </c>
      <c r="D6" s="40">
        <v>1450</v>
      </c>
    </row>
    <row r="7" spans="1:8" x14ac:dyDescent="0.25">
      <c r="A7" s="2">
        <v>43747</v>
      </c>
      <c r="B7" s="7" t="s">
        <v>36</v>
      </c>
      <c r="C7" s="1" t="s">
        <v>37</v>
      </c>
      <c r="D7" s="40">
        <v>1500</v>
      </c>
      <c r="F7" s="3" t="s">
        <v>33</v>
      </c>
      <c r="G7" s="3" t="s">
        <v>237</v>
      </c>
    </row>
    <row r="8" spans="1:8" x14ac:dyDescent="0.25">
      <c r="A8" s="2">
        <v>43750</v>
      </c>
      <c r="B8" s="7" t="s">
        <v>36</v>
      </c>
      <c r="C8" s="1" t="s">
        <v>37</v>
      </c>
      <c r="D8" s="40">
        <v>2560</v>
      </c>
      <c r="F8" s="1" t="s">
        <v>37</v>
      </c>
    </row>
    <row r="9" spans="1:8" x14ac:dyDescent="0.25">
      <c r="A9" s="2">
        <v>43744</v>
      </c>
      <c r="B9" s="7" t="s">
        <v>36</v>
      </c>
      <c r="C9" s="1" t="s">
        <v>37</v>
      </c>
      <c r="D9" s="40">
        <v>6000</v>
      </c>
      <c r="F9" s="1" t="s">
        <v>38</v>
      </c>
    </row>
    <row r="10" spans="1:8" x14ac:dyDescent="0.25">
      <c r="A10" s="2">
        <v>43749</v>
      </c>
      <c r="B10" s="7" t="s">
        <v>34</v>
      </c>
      <c r="C10" s="1" t="s">
        <v>38</v>
      </c>
      <c r="D10" s="40">
        <v>650</v>
      </c>
    </row>
    <row r="11" spans="1:8" x14ac:dyDescent="0.25">
      <c r="A11" s="2">
        <v>43743</v>
      </c>
      <c r="B11" s="7" t="s">
        <v>34</v>
      </c>
      <c r="C11" s="1" t="s">
        <v>38</v>
      </c>
      <c r="D11" s="40">
        <v>4500</v>
      </c>
    </row>
    <row r="12" spans="1:8" x14ac:dyDescent="0.25">
      <c r="A12" s="2">
        <v>43741</v>
      </c>
      <c r="B12" s="7" t="s">
        <v>34</v>
      </c>
      <c r="C12" s="1" t="s">
        <v>37</v>
      </c>
      <c r="D12" s="40">
        <v>4500</v>
      </c>
    </row>
    <row r="13" spans="1:8" x14ac:dyDescent="0.25">
      <c r="A13" s="2">
        <v>43739</v>
      </c>
      <c r="B13" s="7" t="s">
        <v>34</v>
      </c>
      <c r="C13" s="1" t="s">
        <v>37</v>
      </c>
      <c r="D13" s="40">
        <v>5000</v>
      </c>
    </row>
    <row r="19" spans="1:7" x14ac:dyDescent="0.25">
      <c r="A19" s="33"/>
      <c r="F19" s="37">
        <v>11</v>
      </c>
    </row>
    <row r="20" spans="1:7" x14ac:dyDescent="0.25">
      <c r="A20" s="33"/>
      <c r="F20">
        <v>11</v>
      </c>
    </row>
    <row r="21" spans="1:7" x14ac:dyDescent="0.25">
      <c r="A21" s="33"/>
    </row>
    <row r="22" spans="1:7" x14ac:dyDescent="0.25">
      <c r="A22" s="33"/>
    </row>
    <row r="23" spans="1:7" x14ac:dyDescent="0.25">
      <c r="A23" s="33"/>
    </row>
    <row r="24" spans="1:7" x14ac:dyDescent="0.25">
      <c r="A24" s="33" t="s">
        <v>140</v>
      </c>
      <c r="F24" s="38">
        <f t="shared" ref="D24:G35" ca="1" si="0">RANDBETWEEN(5000,50000)</f>
        <v>15093</v>
      </c>
      <c r="G24" s="38">
        <f t="shared" ca="1" si="0"/>
        <v>22169</v>
      </c>
    </row>
    <row r="25" spans="1:7" x14ac:dyDescent="0.25">
      <c r="A25" t="s">
        <v>139</v>
      </c>
      <c r="C25" s="36">
        <v>43922</v>
      </c>
      <c r="D25" t="s">
        <v>142</v>
      </c>
      <c r="E25" t="s">
        <v>143</v>
      </c>
      <c r="F25" s="38">
        <f t="shared" ca="1" si="0"/>
        <v>14811</v>
      </c>
      <c r="G25" s="38">
        <f t="shared" ca="1" si="0"/>
        <v>18109</v>
      </c>
    </row>
    <row r="26" spans="1:7" x14ac:dyDescent="0.25">
      <c r="A26" s="33" t="s">
        <v>138</v>
      </c>
      <c r="C26" s="35"/>
      <c r="E26" t="s">
        <v>144</v>
      </c>
      <c r="F26" s="38">
        <f t="shared" ca="1" si="0"/>
        <v>19734</v>
      </c>
      <c r="G26" s="38">
        <f t="shared" ca="1" si="0"/>
        <v>12095</v>
      </c>
    </row>
    <row r="27" spans="1:7" x14ac:dyDescent="0.25">
      <c r="A27" t="s">
        <v>141</v>
      </c>
      <c r="C27" s="35"/>
      <c r="E27" t="s">
        <v>145</v>
      </c>
      <c r="F27" s="38">
        <f t="shared" ca="1" si="0"/>
        <v>44869</v>
      </c>
      <c r="G27" s="38">
        <f t="shared" ca="1" si="0"/>
        <v>30059</v>
      </c>
    </row>
    <row r="28" spans="1:7" x14ac:dyDescent="0.25">
      <c r="A28" s="33"/>
      <c r="C28" s="35"/>
      <c r="E28" t="s">
        <v>146</v>
      </c>
      <c r="F28" s="38">
        <f t="shared" ca="1" si="0"/>
        <v>7598</v>
      </c>
      <c r="G28" s="38">
        <f t="shared" ca="1" si="0"/>
        <v>6790</v>
      </c>
    </row>
    <row r="29" spans="1:7" x14ac:dyDescent="0.25">
      <c r="A29" s="33"/>
      <c r="C29" s="35"/>
      <c r="F29" s="38">
        <f t="shared" ca="1" si="0"/>
        <v>10065</v>
      </c>
      <c r="G29" s="38">
        <f t="shared" ca="1" si="0"/>
        <v>8684</v>
      </c>
    </row>
    <row r="30" spans="1:7" x14ac:dyDescent="0.25">
      <c r="A30" s="33"/>
      <c r="C30" s="38">
        <f ca="1">RANDBETWEEN(5000,50000)</f>
        <v>33407</v>
      </c>
      <c r="D30" s="38">
        <f t="shared" ca="1" si="0"/>
        <v>16353</v>
      </c>
      <c r="E30" s="38">
        <f t="shared" ca="1" si="0"/>
        <v>11281</v>
      </c>
    </row>
    <row r="31" spans="1:7" ht="21" x14ac:dyDescent="0.35">
      <c r="A31" s="33"/>
      <c r="C31" s="38">
        <f t="shared" ref="C31:C35" ca="1" si="1">RANDBETWEEN(5000,50000)</f>
        <v>37868</v>
      </c>
      <c r="D31" s="38">
        <f t="shared" ca="1" si="0"/>
        <v>38868</v>
      </c>
      <c r="E31" s="38">
        <f t="shared" ca="1" si="0"/>
        <v>14511</v>
      </c>
      <c r="G31" s="39" t="s">
        <v>151</v>
      </c>
    </row>
    <row r="32" spans="1:7" x14ac:dyDescent="0.25">
      <c r="A32" s="33"/>
      <c r="C32" s="38">
        <f t="shared" ca="1" si="1"/>
        <v>12253</v>
      </c>
      <c r="D32" s="38">
        <f t="shared" ca="1" si="0"/>
        <v>19642</v>
      </c>
      <c r="E32" s="38">
        <f t="shared" ca="1" si="0"/>
        <v>5335</v>
      </c>
    </row>
    <row r="33" spans="1:5" x14ac:dyDescent="0.25">
      <c r="A33" s="33"/>
      <c r="C33" s="38">
        <f t="shared" ca="1" si="1"/>
        <v>11898</v>
      </c>
      <c r="D33" s="38">
        <f t="shared" ca="1" si="0"/>
        <v>48982</v>
      </c>
      <c r="E33" s="38">
        <f t="shared" ca="1" si="0"/>
        <v>9847</v>
      </c>
    </row>
    <row r="34" spans="1:5" x14ac:dyDescent="0.25">
      <c r="A34" s="34"/>
      <c r="C34" s="38">
        <f t="shared" ca="1" si="1"/>
        <v>15201</v>
      </c>
      <c r="D34" s="38">
        <f t="shared" ca="1" si="0"/>
        <v>48204</v>
      </c>
      <c r="E34" s="38">
        <f t="shared" ca="1" si="0"/>
        <v>26260</v>
      </c>
    </row>
    <row r="35" spans="1:5" x14ac:dyDescent="0.25">
      <c r="A35" s="34"/>
      <c r="C35" s="38">
        <f t="shared" ca="1" si="1"/>
        <v>26953</v>
      </c>
      <c r="D35" s="38">
        <f t="shared" ca="1" si="0"/>
        <v>20955</v>
      </c>
      <c r="E35" s="38">
        <f t="shared" ca="1" si="0"/>
        <v>25756</v>
      </c>
    </row>
    <row r="36" spans="1:5" x14ac:dyDescent="0.25">
      <c r="A36" s="34"/>
    </row>
    <row r="37" spans="1:5" x14ac:dyDescent="0.25">
      <c r="A37" s="34"/>
      <c r="D37" t="s">
        <v>147</v>
      </c>
      <c r="E37" t="s">
        <v>148</v>
      </c>
    </row>
    <row r="38" spans="1:5" x14ac:dyDescent="0.25">
      <c r="A38" s="34"/>
      <c r="D38" t="s">
        <v>149</v>
      </c>
      <c r="E38" t="s">
        <v>150</v>
      </c>
    </row>
    <row r="39" spans="1:5" x14ac:dyDescent="0.25">
      <c r="A39" s="34"/>
    </row>
    <row r="40" spans="1:5" x14ac:dyDescent="0.25">
      <c r="A40" s="34"/>
    </row>
  </sheetData>
  <sortState ref="A2:D11">
    <sortCondition ref="B2"/>
  </sortState>
  <pageMargins left="0.7" right="0.7" top="0.75" bottom="0.75" header="0.3" footer="0.3"/>
  <pageSetup paperSize="9"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3"/>
  <sheetViews>
    <sheetView zoomScale="160" zoomScaleNormal="160" workbookViewId="0">
      <selection activeCell="F8" sqref="F8:G16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8" x14ac:dyDescent="0.25">
      <c r="A1" s="3" t="s">
        <v>31</v>
      </c>
      <c r="B1" s="3" t="s">
        <v>32</v>
      </c>
      <c r="C1" s="3" t="s">
        <v>33</v>
      </c>
      <c r="D1" s="3" t="s">
        <v>12</v>
      </c>
      <c r="F1" s="4" t="s">
        <v>39</v>
      </c>
      <c r="G1" s="3" t="s">
        <v>37</v>
      </c>
      <c r="H1" s="3" t="s">
        <v>38</v>
      </c>
    </row>
    <row r="2" spans="1:8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</row>
    <row r="3" spans="1:8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</row>
    <row r="4" spans="1:8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</row>
    <row r="5" spans="1:8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8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8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8" x14ac:dyDescent="0.25">
      <c r="A8" s="2">
        <v>43745</v>
      </c>
      <c r="B8" s="1" t="s">
        <v>35</v>
      </c>
      <c r="C8" s="1" t="s">
        <v>38</v>
      </c>
      <c r="D8" s="1">
        <v>4500</v>
      </c>
    </row>
    <row r="9" spans="1:8" x14ac:dyDescent="0.25">
      <c r="A9" s="2">
        <v>43746</v>
      </c>
      <c r="B9" s="1" t="s">
        <v>35</v>
      </c>
      <c r="C9" s="1" t="s">
        <v>38</v>
      </c>
      <c r="D9" s="1">
        <v>600</v>
      </c>
    </row>
    <row r="10" spans="1:8" x14ac:dyDescent="0.25">
      <c r="A10" s="2">
        <v>43747</v>
      </c>
      <c r="B10" s="1" t="s">
        <v>36</v>
      </c>
      <c r="C10" s="1" t="s">
        <v>37</v>
      </c>
      <c r="D10" s="1">
        <v>1500</v>
      </c>
    </row>
    <row r="11" spans="1:8" x14ac:dyDescent="0.25">
      <c r="A11" s="2">
        <v>43748</v>
      </c>
      <c r="B11" s="1" t="s">
        <v>36</v>
      </c>
      <c r="C11" s="1" t="s">
        <v>37</v>
      </c>
      <c r="D11" s="1">
        <v>1450</v>
      </c>
    </row>
    <row r="12" spans="1:8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8" x14ac:dyDescent="0.25">
      <c r="A13" s="2">
        <v>43750</v>
      </c>
      <c r="B13" s="1" t="s">
        <v>36</v>
      </c>
      <c r="C13" s="1" t="s">
        <v>37</v>
      </c>
      <c r="D13" s="1">
        <v>2560</v>
      </c>
    </row>
  </sheetData>
  <pageMargins left="0.7" right="0.7" top="0.75" bottom="0.75" header="0.3" footer="0.3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6"/>
  <sheetViews>
    <sheetView zoomScale="200" zoomScaleNormal="200" workbookViewId="0">
      <selection activeCell="F8" sqref="F8:G16"/>
    </sheetView>
  </sheetViews>
  <sheetFormatPr defaultRowHeight="15" x14ac:dyDescent="0.25"/>
  <cols>
    <col min="1" max="1" width="10.42578125" bestFit="1" customWidth="1"/>
    <col min="2" max="2" width="14" bestFit="1" customWidth="1"/>
    <col min="3" max="3" width="11.5703125" customWidth="1"/>
    <col min="6" max="6" width="14" bestFit="1" customWidth="1"/>
  </cols>
  <sheetData>
    <row r="1" spans="1:10" x14ac:dyDescent="0.25">
      <c r="A1" s="3" t="s">
        <v>31</v>
      </c>
      <c r="B1" s="3" t="s">
        <v>32</v>
      </c>
      <c r="C1" s="3" t="s">
        <v>33</v>
      </c>
      <c r="D1" s="3" t="s">
        <v>12</v>
      </c>
      <c r="F1" s="3" t="s">
        <v>32</v>
      </c>
      <c r="G1" s="3" t="s">
        <v>37</v>
      </c>
      <c r="H1" s="3" t="s">
        <v>38</v>
      </c>
    </row>
    <row r="2" spans="1:10" x14ac:dyDescent="0.25">
      <c r="A2" s="2">
        <v>43739</v>
      </c>
      <c r="B2" s="1" t="s">
        <v>34</v>
      </c>
      <c r="C2" s="1" t="s">
        <v>37</v>
      </c>
      <c r="D2" s="1">
        <v>5000</v>
      </c>
      <c r="F2" s="1" t="s">
        <v>34</v>
      </c>
      <c r="G2" s="1"/>
      <c r="H2" s="1"/>
      <c r="J2" s="1"/>
    </row>
    <row r="3" spans="1:10" x14ac:dyDescent="0.25">
      <c r="A3" s="2">
        <v>43740</v>
      </c>
      <c r="B3" s="1" t="s">
        <v>35</v>
      </c>
      <c r="C3" s="1" t="s">
        <v>38</v>
      </c>
      <c r="D3" s="1">
        <v>6000</v>
      </c>
      <c r="F3" s="1" t="s">
        <v>35</v>
      </c>
      <c r="G3" s="1"/>
      <c r="H3" s="1"/>
      <c r="J3" s="1"/>
    </row>
    <row r="4" spans="1:10" x14ac:dyDescent="0.25">
      <c r="A4" s="2">
        <v>43741</v>
      </c>
      <c r="B4" s="1" t="s">
        <v>34</v>
      </c>
      <c r="C4" s="1" t="s">
        <v>37</v>
      </c>
      <c r="D4" s="1">
        <v>4500</v>
      </c>
      <c r="F4" s="1" t="s">
        <v>108</v>
      </c>
      <c r="G4" s="1"/>
      <c r="H4" s="1"/>
      <c r="J4" s="1"/>
    </row>
    <row r="5" spans="1:10" x14ac:dyDescent="0.25">
      <c r="A5" s="2">
        <v>43742</v>
      </c>
      <c r="B5" s="1" t="s">
        <v>35</v>
      </c>
      <c r="C5" s="1" t="s">
        <v>37</v>
      </c>
      <c r="D5" s="1">
        <v>6500</v>
      </c>
    </row>
    <row r="6" spans="1:10" x14ac:dyDescent="0.25">
      <c r="A6" s="2">
        <v>43743</v>
      </c>
      <c r="B6" s="1" t="s">
        <v>34</v>
      </c>
      <c r="C6" s="1" t="s">
        <v>38</v>
      </c>
      <c r="D6" s="1">
        <v>4500</v>
      </c>
    </row>
    <row r="7" spans="1:10" x14ac:dyDescent="0.25">
      <c r="A7" s="2">
        <v>43744</v>
      </c>
      <c r="B7" s="1" t="s">
        <v>36</v>
      </c>
      <c r="C7" s="1" t="s">
        <v>37</v>
      </c>
      <c r="D7" s="1">
        <v>6000</v>
      </c>
    </row>
    <row r="8" spans="1:10" x14ac:dyDescent="0.25">
      <c r="A8" s="2">
        <v>43745</v>
      </c>
      <c r="B8" s="1" t="s">
        <v>35</v>
      </c>
      <c r="C8" s="1" t="s">
        <v>38</v>
      </c>
      <c r="D8" s="1">
        <v>4500</v>
      </c>
      <c r="F8" s="3" t="s">
        <v>32</v>
      </c>
      <c r="G8" s="3" t="s">
        <v>12</v>
      </c>
    </row>
    <row r="9" spans="1:10" x14ac:dyDescent="0.25">
      <c r="A9" s="2">
        <v>43746</v>
      </c>
      <c r="B9" s="1" t="s">
        <v>35</v>
      </c>
      <c r="C9" s="1" t="s">
        <v>38</v>
      </c>
      <c r="D9" s="1">
        <v>600</v>
      </c>
      <c r="F9" s="1" t="s">
        <v>34</v>
      </c>
      <c r="G9" s="1"/>
    </row>
    <row r="10" spans="1:10" x14ac:dyDescent="0.25">
      <c r="A10" s="2">
        <v>43747</v>
      </c>
      <c r="B10" s="1" t="s">
        <v>36</v>
      </c>
      <c r="C10" s="1" t="s">
        <v>37</v>
      </c>
      <c r="D10" s="1">
        <v>1500</v>
      </c>
      <c r="F10" s="1" t="s">
        <v>35</v>
      </c>
      <c r="G10" s="1"/>
    </row>
    <row r="11" spans="1:10" x14ac:dyDescent="0.25">
      <c r="A11" s="2">
        <v>43748</v>
      </c>
      <c r="B11" s="1" t="s">
        <v>36</v>
      </c>
      <c r="C11" s="1" t="s">
        <v>37</v>
      </c>
      <c r="D11" s="1">
        <v>1450</v>
      </c>
      <c r="F11" s="1" t="s">
        <v>108</v>
      </c>
      <c r="G11" s="1"/>
    </row>
    <row r="12" spans="1:10" x14ac:dyDescent="0.25">
      <c r="A12" s="2">
        <v>43749</v>
      </c>
      <c r="B12" s="1" t="s">
        <v>34</v>
      </c>
      <c r="C12" s="1" t="s">
        <v>38</v>
      </c>
      <c r="D12" s="1">
        <v>650</v>
      </c>
    </row>
    <row r="13" spans="1:10" x14ac:dyDescent="0.25">
      <c r="A13" s="2">
        <v>43750</v>
      </c>
      <c r="B13" s="1" t="s">
        <v>36</v>
      </c>
      <c r="C13" s="1" t="s">
        <v>37</v>
      </c>
      <c r="D13" s="1">
        <v>2560</v>
      </c>
    </row>
    <row r="14" spans="1:10" x14ac:dyDescent="0.25">
      <c r="F14" s="3" t="s">
        <v>33</v>
      </c>
      <c r="G14" s="3" t="s">
        <v>12</v>
      </c>
    </row>
    <row r="15" spans="1:10" x14ac:dyDescent="0.25">
      <c r="F15" s="1" t="s">
        <v>37</v>
      </c>
    </row>
    <row r="16" spans="1:10" x14ac:dyDescent="0.25">
      <c r="F16" s="1" t="s">
        <v>38</v>
      </c>
    </row>
  </sheetData>
  <autoFilter ref="A1:D13" xr:uid="{00000000-0009-0000-0000-000009000000}"/>
  <pageMargins left="0.7" right="0.7" top="0.75" bottom="0.75" header="0.3" footer="0.3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D13"/>
  <sheetViews>
    <sheetView zoomScale="160" zoomScaleNormal="160" workbookViewId="0">
      <selection activeCell="E2" sqref="E2"/>
    </sheetView>
  </sheetViews>
  <sheetFormatPr defaultRowHeight="15" x14ac:dyDescent="0.25"/>
  <cols>
    <col min="1" max="1" width="10.28515625" bestFit="1" customWidth="1"/>
    <col min="2" max="2" width="14.28515625" bestFit="1" customWidth="1"/>
    <col min="3" max="3" width="11.28515625" bestFit="1" customWidth="1"/>
    <col min="4" max="4" width="7.5703125" bestFit="1" customWidth="1"/>
  </cols>
  <sheetData>
    <row r="1" spans="1:4" x14ac:dyDescent="0.25">
      <c r="A1" t="s">
        <v>31</v>
      </c>
      <c r="B1" t="s">
        <v>32</v>
      </c>
      <c r="C1" t="s">
        <v>33</v>
      </c>
      <c r="D1" t="s">
        <v>12</v>
      </c>
    </row>
    <row r="2" spans="1:4" x14ac:dyDescent="0.25">
      <c r="A2" s="41">
        <v>43740</v>
      </c>
      <c r="B2" t="s">
        <v>35</v>
      </c>
      <c r="C2" t="s">
        <v>38</v>
      </c>
      <c r="D2">
        <v>20588</v>
      </c>
    </row>
    <row r="3" spans="1:4" x14ac:dyDescent="0.25">
      <c r="A3" s="41">
        <v>43742</v>
      </c>
      <c r="B3" t="s">
        <v>35</v>
      </c>
      <c r="C3" t="s">
        <v>37</v>
      </c>
      <c r="D3">
        <v>42392</v>
      </c>
    </row>
    <row r="4" spans="1:4" x14ac:dyDescent="0.25">
      <c r="A4" s="41">
        <v>43745</v>
      </c>
      <c r="B4" t="s">
        <v>35</v>
      </c>
      <c r="C4" t="s">
        <v>38</v>
      </c>
      <c r="D4">
        <v>16334</v>
      </c>
    </row>
    <row r="5" spans="1:4" x14ac:dyDescent="0.25">
      <c r="A5" s="41">
        <v>43746</v>
      </c>
      <c r="B5" t="s">
        <v>35</v>
      </c>
      <c r="C5" t="s">
        <v>38</v>
      </c>
      <c r="D5">
        <v>24400</v>
      </c>
    </row>
    <row r="6" spans="1:4" x14ac:dyDescent="0.25">
      <c r="A6" s="41">
        <v>43744</v>
      </c>
      <c r="B6" t="s">
        <v>36</v>
      </c>
      <c r="C6" t="s">
        <v>37</v>
      </c>
      <c r="D6">
        <v>44441</v>
      </c>
    </row>
    <row r="7" spans="1:4" x14ac:dyDescent="0.25">
      <c r="A7" s="41">
        <v>43747</v>
      </c>
      <c r="B7" t="s">
        <v>36</v>
      </c>
      <c r="C7" t="s">
        <v>37</v>
      </c>
      <c r="D7">
        <v>32074</v>
      </c>
    </row>
    <row r="8" spans="1:4" x14ac:dyDescent="0.25">
      <c r="A8" s="41">
        <v>44062</v>
      </c>
      <c r="B8" t="s">
        <v>36</v>
      </c>
      <c r="C8" t="s">
        <v>37</v>
      </c>
      <c r="D8">
        <v>33268</v>
      </c>
    </row>
    <row r="9" spans="1:4" x14ac:dyDescent="0.25">
      <c r="A9" s="41">
        <v>43750</v>
      </c>
      <c r="B9" t="s">
        <v>36</v>
      </c>
      <c r="C9" t="s">
        <v>37</v>
      </c>
      <c r="D9">
        <v>19887</v>
      </c>
    </row>
    <row r="10" spans="1:4" x14ac:dyDescent="0.25">
      <c r="A10" s="41">
        <v>43739</v>
      </c>
      <c r="B10" t="s">
        <v>34</v>
      </c>
      <c r="C10" t="s">
        <v>37</v>
      </c>
      <c r="D10">
        <v>41659</v>
      </c>
    </row>
    <row r="11" spans="1:4" x14ac:dyDescent="0.25">
      <c r="A11" s="41">
        <v>43741</v>
      </c>
      <c r="B11" t="s">
        <v>34</v>
      </c>
      <c r="C11" t="s">
        <v>37</v>
      </c>
      <c r="D11">
        <v>17770</v>
      </c>
    </row>
    <row r="12" spans="1:4" x14ac:dyDescent="0.25">
      <c r="A12" s="41">
        <v>43743</v>
      </c>
      <c r="B12" t="s">
        <v>34</v>
      </c>
      <c r="C12" t="s">
        <v>38</v>
      </c>
      <c r="D12">
        <v>16888</v>
      </c>
    </row>
    <row r="13" spans="1:4" x14ac:dyDescent="0.25">
      <c r="A13" s="41">
        <v>43749</v>
      </c>
      <c r="B13" t="s">
        <v>34</v>
      </c>
      <c r="C13" t="s">
        <v>38</v>
      </c>
      <c r="D13">
        <v>7636</v>
      </c>
    </row>
  </sheetData>
  <pageMargins left="0.7" right="0.7" top="0.75" bottom="0.75" header="0.3" footer="0.3"/>
  <pageSetup paperSize="9"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14"/>
  <sheetViews>
    <sheetView zoomScale="160" zoomScaleNormal="160" workbookViewId="0">
      <selection activeCell="J10" sqref="J10"/>
    </sheetView>
  </sheetViews>
  <sheetFormatPr defaultRowHeight="15" x14ac:dyDescent="0.25"/>
  <cols>
    <col min="1" max="1" width="10.42578125" bestFit="1" customWidth="1"/>
    <col min="2" max="2" width="11.5703125" customWidth="1"/>
    <col min="7" max="7" width="10.7109375" bestFit="1" customWidth="1"/>
  </cols>
  <sheetData>
    <row r="1" spans="1:11" x14ac:dyDescent="0.25">
      <c r="A1" s="3" t="s">
        <v>31</v>
      </c>
      <c r="B1" s="3" t="s">
        <v>110</v>
      </c>
      <c r="C1" s="3" t="s">
        <v>111</v>
      </c>
      <c r="D1" s="3" t="s">
        <v>47</v>
      </c>
      <c r="E1" t="s">
        <v>204</v>
      </c>
    </row>
    <row r="2" spans="1:11" x14ac:dyDescent="0.25">
      <c r="A2" s="2">
        <v>43739</v>
      </c>
      <c r="B2" s="1" t="s">
        <v>56</v>
      </c>
      <c r="C2" s="1">
        <v>500</v>
      </c>
      <c r="D2" s="1">
        <v>450</v>
      </c>
      <c r="G2" t="s">
        <v>204</v>
      </c>
    </row>
    <row r="3" spans="1:11" x14ac:dyDescent="0.25">
      <c r="A3" s="2">
        <v>43740</v>
      </c>
      <c r="B3" s="1" t="s">
        <v>48</v>
      </c>
      <c r="C3" s="1">
        <v>600</v>
      </c>
      <c r="D3" s="1">
        <v>950</v>
      </c>
    </row>
    <row r="4" spans="1:11" x14ac:dyDescent="0.25">
      <c r="A4" s="2">
        <v>43741</v>
      </c>
      <c r="B4" s="1" t="s">
        <v>49</v>
      </c>
      <c r="C4" s="1">
        <v>450</v>
      </c>
      <c r="D4" s="1">
        <v>350</v>
      </c>
    </row>
    <row r="5" spans="1:11" x14ac:dyDescent="0.25">
      <c r="A5" s="2">
        <v>43742</v>
      </c>
      <c r="B5" s="1" t="s">
        <v>54</v>
      </c>
      <c r="C5" s="1">
        <v>350</v>
      </c>
      <c r="D5" s="1">
        <v>350</v>
      </c>
      <c r="G5" s="3" t="s">
        <v>110</v>
      </c>
      <c r="H5" t="s">
        <v>206</v>
      </c>
    </row>
    <row r="6" spans="1:11" x14ac:dyDescent="0.25">
      <c r="A6" s="2">
        <v>43743</v>
      </c>
      <c r="B6" s="1" t="s">
        <v>53</v>
      </c>
      <c r="C6" s="1">
        <v>650</v>
      </c>
      <c r="D6" s="1">
        <v>250</v>
      </c>
      <c r="G6" s="1" t="s">
        <v>54</v>
      </c>
      <c r="I6" t="s">
        <v>205</v>
      </c>
    </row>
    <row r="7" spans="1:11" x14ac:dyDescent="0.25">
      <c r="A7" s="2">
        <v>43744</v>
      </c>
      <c r="B7" s="1" t="s">
        <v>50</v>
      </c>
      <c r="C7" s="1">
        <v>120</v>
      </c>
      <c r="D7" s="1">
        <v>850</v>
      </c>
      <c r="I7" t="s">
        <v>207</v>
      </c>
    </row>
    <row r="8" spans="1:11" x14ac:dyDescent="0.25">
      <c r="A8" s="2">
        <v>43745</v>
      </c>
      <c r="B8" s="1" t="s">
        <v>51</v>
      </c>
      <c r="C8" s="1">
        <v>250</v>
      </c>
      <c r="D8" s="1">
        <v>3500</v>
      </c>
    </row>
    <row r="9" spans="1:11" x14ac:dyDescent="0.25">
      <c r="A9" s="2">
        <v>43746</v>
      </c>
      <c r="B9" s="1" t="s">
        <v>52</v>
      </c>
      <c r="C9" s="1">
        <v>150</v>
      </c>
      <c r="D9" s="1">
        <v>2500</v>
      </c>
    </row>
    <row r="10" spans="1:11" x14ac:dyDescent="0.25">
      <c r="A10" s="2">
        <v>43747</v>
      </c>
      <c r="B10" s="1" t="s">
        <v>53</v>
      </c>
      <c r="C10" s="1">
        <v>250</v>
      </c>
      <c r="D10" s="1">
        <v>2500</v>
      </c>
    </row>
    <row r="11" spans="1:11" x14ac:dyDescent="0.25">
      <c r="A11" s="2">
        <v>43748</v>
      </c>
      <c r="B11" s="1" t="s">
        <v>54</v>
      </c>
      <c r="C11" s="1">
        <v>360</v>
      </c>
      <c r="D11" s="1">
        <v>3500</v>
      </c>
    </row>
    <row r="12" spans="1:11" x14ac:dyDescent="0.25">
      <c r="A12" s="2">
        <v>43749</v>
      </c>
      <c r="B12" s="1" t="s">
        <v>55</v>
      </c>
      <c r="C12" s="1">
        <v>120</v>
      </c>
      <c r="D12" s="1">
        <v>1800</v>
      </c>
      <c r="G12" s="3" t="s">
        <v>110</v>
      </c>
      <c r="H12" s="3" t="s">
        <v>111</v>
      </c>
      <c r="I12" t="s">
        <v>210</v>
      </c>
    </row>
    <row r="13" spans="1:11" x14ac:dyDescent="0.25">
      <c r="A13" s="2">
        <v>43750</v>
      </c>
      <c r="B13" s="1" t="s">
        <v>54</v>
      </c>
      <c r="C13" s="1">
        <v>210</v>
      </c>
      <c r="D13" s="1">
        <v>1200</v>
      </c>
      <c r="G13" s="1" t="s">
        <v>54</v>
      </c>
      <c r="H13" t="s">
        <v>209</v>
      </c>
      <c r="K13" t="s">
        <v>208</v>
      </c>
    </row>
    <row r="14" spans="1:11" x14ac:dyDescent="0.25">
      <c r="K14" t="s">
        <v>207</v>
      </c>
    </row>
  </sheetData>
  <pageMargins left="0.7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44"/>
  <sheetViews>
    <sheetView zoomScale="145" zoomScaleNormal="145" workbookViewId="0">
      <selection activeCell="F5" sqref="F5"/>
    </sheetView>
  </sheetViews>
  <sheetFormatPr defaultRowHeight="15" x14ac:dyDescent="0.25"/>
  <cols>
    <col min="1" max="1" width="16.85546875" bestFit="1" customWidth="1"/>
    <col min="2" max="3" width="19.7109375" customWidth="1"/>
    <col min="4" max="4" width="16.85546875" bestFit="1" customWidth="1"/>
    <col min="5" max="5" width="4.7109375" bestFit="1" customWidth="1"/>
    <col min="6" max="6" width="6.140625" bestFit="1" customWidth="1"/>
    <col min="7" max="7" width="4.42578125" bestFit="1" customWidth="1"/>
    <col min="8" max="8" width="10.85546875" bestFit="1" customWidth="1"/>
    <col min="11" max="11" width="18.28515625" bestFit="1" customWidth="1"/>
  </cols>
  <sheetData>
    <row r="1" spans="1:7" x14ac:dyDescent="0.25">
      <c r="D1" s="3" t="s">
        <v>65</v>
      </c>
      <c r="E1" s="3" t="s">
        <v>115</v>
      </c>
      <c r="F1" s="3" t="s">
        <v>116</v>
      </c>
      <c r="G1" s="3" t="s">
        <v>117</v>
      </c>
    </row>
    <row r="2" spans="1:7" x14ac:dyDescent="0.25">
      <c r="A2" t="s">
        <v>152</v>
      </c>
      <c r="D2" s="1" t="s">
        <v>66</v>
      </c>
    </row>
    <row r="3" spans="1:7" x14ac:dyDescent="0.25">
      <c r="A3" t="s">
        <v>153</v>
      </c>
      <c r="D3" s="1" t="s">
        <v>67</v>
      </c>
    </row>
    <row r="4" spans="1:7" x14ac:dyDescent="0.25">
      <c r="A4" t="s">
        <v>154</v>
      </c>
      <c r="D4" s="1" t="s">
        <v>68</v>
      </c>
    </row>
    <row r="5" spans="1:7" x14ac:dyDescent="0.25">
      <c r="A5" t="s">
        <v>155</v>
      </c>
      <c r="D5" s="1" t="s">
        <v>69</v>
      </c>
    </row>
    <row r="6" spans="1:7" x14ac:dyDescent="0.25">
      <c r="A6" t="s">
        <v>156</v>
      </c>
      <c r="D6" s="1" t="s">
        <v>70</v>
      </c>
    </row>
    <row r="7" spans="1:7" x14ac:dyDescent="0.25">
      <c r="A7" t="s">
        <v>157</v>
      </c>
      <c r="D7" s="1" t="s">
        <v>71</v>
      </c>
    </row>
    <row r="8" spans="1:7" x14ac:dyDescent="0.25">
      <c r="A8" t="s">
        <v>158</v>
      </c>
      <c r="D8" s="1" t="s">
        <v>72</v>
      </c>
    </row>
    <row r="9" spans="1:7" x14ac:dyDescent="0.25">
      <c r="A9" t="s">
        <v>159</v>
      </c>
      <c r="D9" s="1" t="s">
        <v>73</v>
      </c>
    </row>
    <row r="10" spans="1:7" x14ac:dyDescent="0.25">
      <c r="A10" t="s">
        <v>160</v>
      </c>
      <c r="D10" s="1" t="s">
        <v>74</v>
      </c>
    </row>
    <row r="11" spans="1:7" x14ac:dyDescent="0.25">
      <c r="A11" t="s">
        <v>161</v>
      </c>
      <c r="D11" s="1" t="s">
        <v>75</v>
      </c>
    </row>
    <row r="12" spans="1:7" x14ac:dyDescent="0.25">
      <c r="A12" t="s">
        <v>162</v>
      </c>
      <c r="D12" s="1" t="s">
        <v>76</v>
      </c>
    </row>
    <row r="13" spans="1:7" x14ac:dyDescent="0.25">
      <c r="A13" t="s">
        <v>163</v>
      </c>
      <c r="D13" s="1" t="s">
        <v>77</v>
      </c>
    </row>
    <row r="14" spans="1:7" x14ac:dyDescent="0.25">
      <c r="A14" t="s">
        <v>164</v>
      </c>
    </row>
    <row r="15" spans="1:7" x14ac:dyDescent="0.25">
      <c r="A15" t="s">
        <v>165</v>
      </c>
    </row>
    <row r="16" spans="1:7" x14ac:dyDescent="0.25">
      <c r="A16" t="s">
        <v>166</v>
      </c>
    </row>
    <row r="17" spans="1:1" x14ac:dyDescent="0.25">
      <c r="A17" t="s">
        <v>167</v>
      </c>
    </row>
    <row r="18" spans="1:1" x14ac:dyDescent="0.25">
      <c r="A18" t="s">
        <v>168</v>
      </c>
    </row>
    <row r="19" spans="1:1" x14ac:dyDescent="0.25">
      <c r="A19" t="s">
        <v>169</v>
      </c>
    </row>
    <row r="20" spans="1:1" x14ac:dyDescent="0.25">
      <c r="A20" t="s">
        <v>170</v>
      </c>
    </row>
    <row r="21" spans="1:1" x14ac:dyDescent="0.25">
      <c r="A21" t="s">
        <v>171</v>
      </c>
    </row>
    <row r="22" spans="1:1" x14ac:dyDescent="0.25">
      <c r="A22" t="s">
        <v>172</v>
      </c>
    </row>
    <row r="23" spans="1:1" x14ac:dyDescent="0.25">
      <c r="A23" t="s">
        <v>173</v>
      </c>
    </row>
    <row r="24" spans="1:1" x14ac:dyDescent="0.25">
      <c r="A24" t="s">
        <v>174</v>
      </c>
    </row>
    <row r="25" spans="1:1" x14ac:dyDescent="0.25">
      <c r="A25" t="s">
        <v>175</v>
      </c>
    </row>
    <row r="26" spans="1:1" x14ac:dyDescent="0.25">
      <c r="A26" t="s">
        <v>176</v>
      </c>
    </row>
    <row r="27" spans="1:1" x14ac:dyDescent="0.25">
      <c r="A27" t="s">
        <v>177</v>
      </c>
    </row>
    <row r="28" spans="1:1" x14ac:dyDescent="0.25">
      <c r="A28" t="s">
        <v>178</v>
      </c>
    </row>
    <row r="29" spans="1:1" x14ac:dyDescent="0.25">
      <c r="A29" t="s">
        <v>179</v>
      </c>
    </row>
    <row r="30" spans="1:1" x14ac:dyDescent="0.25">
      <c r="A30" t="s">
        <v>180</v>
      </c>
    </row>
    <row r="31" spans="1:1" x14ac:dyDescent="0.25">
      <c r="A31" t="s">
        <v>181</v>
      </c>
    </row>
    <row r="32" spans="1:1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paperSize="9"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G44"/>
  <sheetViews>
    <sheetView zoomScale="145" zoomScaleNormal="145" workbookViewId="0">
      <selection activeCell="G4" sqref="G4"/>
    </sheetView>
  </sheetViews>
  <sheetFormatPr defaultRowHeight="15" x14ac:dyDescent="0.25"/>
  <cols>
    <col min="1" max="1" width="15.28515625" bestFit="1" customWidth="1"/>
    <col min="2" max="4" width="15.28515625" customWidth="1"/>
  </cols>
  <sheetData>
    <row r="1" spans="1:7" x14ac:dyDescent="0.25">
      <c r="A1" t="s">
        <v>195</v>
      </c>
      <c r="B1" t="s">
        <v>196</v>
      </c>
      <c r="C1" t="s">
        <v>197</v>
      </c>
      <c r="E1" s="12" t="s">
        <v>137</v>
      </c>
      <c r="F1" s="12" t="s">
        <v>135</v>
      </c>
      <c r="G1" s="12" t="s">
        <v>136</v>
      </c>
    </row>
    <row r="2" spans="1:7" x14ac:dyDescent="0.25">
      <c r="A2" t="s">
        <v>152</v>
      </c>
      <c r="E2" t="s">
        <v>118</v>
      </c>
    </row>
    <row r="3" spans="1:7" x14ac:dyDescent="0.25">
      <c r="A3" t="s">
        <v>153</v>
      </c>
      <c r="E3" t="s">
        <v>119</v>
      </c>
    </row>
    <row r="4" spans="1:7" x14ac:dyDescent="0.25">
      <c r="A4" t="s">
        <v>154</v>
      </c>
      <c r="E4" t="s">
        <v>120</v>
      </c>
    </row>
    <row r="5" spans="1:7" x14ac:dyDescent="0.25">
      <c r="A5" t="s">
        <v>155</v>
      </c>
      <c r="E5" t="s">
        <v>121</v>
      </c>
    </row>
    <row r="6" spans="1:7" x14ac:dyDescent="0.25">
      <c r="A6" t="s">
        <v>156</v>
      </c>
      <c r="E6" t="s">
        <v>122</v>
      </c>
    </row>
    <row r="7" spans="1:7" x14ac:dyDescent="0.25">
      <c r="A7" t="s">
        <v>157</v>
      </c>
      <c r="E7" t="s">
        <v>123</v>
      </c>
    </row>
    <row r="8" spans="1:7" x14ac:dyDescent="0.25">
      <c r="A8" t="s">
        <v>158</v>
      </c>
      <c r="E8" t="s">
        <v>124</v>
      </c>
    </row>
    <row r="9" spans="1:7" x14ac:dyDescent="0.25">
      <c r="A9" t="s">
        <v>159</v>
      </c>
      <c r="E9" t="s">
        <v>125</v>
      </c>
    </row>
    <row r="10" spans="1:7" x14ac:dyDescent="0.25">
      <c r="A10" t="s">
        <v>160</v>
      </c>
      <c r="E10" t="s">
        <v>126</v>
      </c>
    </row>
    <row r="11" spans="1:7" x14ac:dyDescent="0.25">
      <c r="A11" t="s">
        <v>161</v>
      </c>
      <c r="E11" t="s">
        <v>127</v>
      </c>
    </row>
    <row r="12" spans="1:7" x14ac:dyDescent="0.25">
      <c r="A12" t="s">
        <v>162</v>
      </c>
      <c r="E12" t="s">
        <v>128</v>
      </c>
    </row>
    <row r="13" spans="1:7" x14ac:dyDescent="0.25">
      <c r="A13" t="s">
        <v>163</v>
      </c>
      <c r="E13" t="s">
        <v>129</v>
      </c>
    </row>
    <row r="14" spans="1:7" x14ac:dyDescent="0.25">
      <c r="A14" t="s">
        <v>164</v>
      </c>
      <c r="E14" t="s">
        <v>130</v>
      </c>
    </row>
    <row r="15" spans="1:7" x14ac:dyDescent="0.25">
      <c r="A15" t="s">
        <v>165</v>
      </c>
      <c r="E15" t="s">
        <v>131</v>
      </c>
    </row>
    <row r="16" spans="1:7" x14ac:dyDescent="0.25">
      <c r="A16" t="s">
        <v>166</v>
      </c>
      <c r="E16" t="s">
        <v>132</v>
      </c>
    </row>
    <row r="17" spans="1:5" x14ac:dyDescent="0.25">
      <c r="A17" t="s">
        <v>167</v>
      </c>
      <c r="E17" t="s">
        <v>133</v>
      </c>
    </row>
    <row r="18" spans="1:5" x14ac:dyDescent="0.25">
      <c r="A18" t="s">
        <v>168</v>
      </c>
      <c r="E18" t="s">
        <v>134</v>
      </c>
    </row>
    <row r="19" spans="1:5" x14ac:dyDescent="0.25">
      <c r="A19" t="s">
        <v>169</v>
      </c>
    </row>
    <row r="20" spans="1:5" x14ac:dyDescent="0.25">
      <c r="A20" t="s">
        <v>170</v>
      </c>
    </row>
    <row r="21" spans="1:5" x14ac:dyDescent="0.25">
      <c r="A21" t="s">
        <v>171</v>
      </c>
    </row>
    <row r="22" spans="1:5" x14ac:dyDescent="0.25">
      <c r="A22" t="s">
        <v>172</v>
      </c>
    </row>
    <row r="23" spans="1:5" x14ac:dyDescent="0.25">
      <c r="A23" t="s">
        <v>173</v>
      </c>
    </row>
    <row r="24" spans="1:5" x14ac:dyDescent="0.25">
      <c r="A24" t="s">
        <v>174</v>
      </c>
    </row>
    <row r="25" spans="1:5" x14ac:dyDescent="0.25">
      <c r="A25" t="s">
        <v>175</v>
      </c>
    </row>
    <row r="26" spans="1:5" x14ac:dyDescent="0.25">
      <c r="A26" t="s">
        <v>176</v>
      </c>
    </row>
    <row r="27" spans="1:5" x14ac:dyDescent="0.25">
      <c r="A27" t="s">
        <v>177</v>
      </c>
    </row>
    <row r="28" spans="1:5" x14ac:dyDescent="0.25">
      <c r="A28" t="s">
        <v>178</v>
      </c>
    </row>
    <row r="29" spans="1:5" x14ac:dyDescent="0.25">
      <c r="A29" t="s">
        <v>179</v>
      </c>
    </row>
    <row r="30" spans="1:5" x14ac:dyDescent="0.25">
      <c r="A30" t="s">
        <v>180</v>
      </c>
    </row>
    <row r="31" spans="1:5" x14ac:dyDescent="0.25">
      <c r="A31" t="s">
        <v>181</v>
      </c>
    </row>
    <row r="32" spans="1:5" x14ac:dyDescent="0.25">
      <c r="A32" t="s">
        <v>182</v>
      </c>
    </row>
    <row r="33" spans="1:1" x14ac:dyDescent="0.25">
      <c r="A33" t="s">
        <v>183</v>
      </c>
    </row>
    <row r="34" spans="1:1" x14ac:dyDescent="0.25">
      <c r="A34" t="s">
        <v>184</v>
      </c>
    </row>
    <row r="35" spans="1:1" x14ac:dyDescent="0.25">
      <c r="A35" t="s">
        <v>185</v>
      </c>
    </row>
    <row r="36" spans="1:1" x14ac:dyDescent="0.25">
      <c r="A36" t="s">
        <v>186</v>
      </c>
    </row>
    <row r="37" spans="1:1" x14ac:dyDescent="0.25">
      <c r="A37" t="s">
        <v>187</v>
      </c>
    </row>
    <row r="38" spans="1:1" x14ac:dyDescent="0.25">
      <c r="A38" t="s">
        <v>188</v>
      </c>
    </row>
    <row r="39" spans="1:1" x14ac:dyDescent="0.25">
      <c r="A39" t="s">
        <v>189</v>
      </c>
    </row>
    <row r="40" spans="1:1" x14ac:dyDescent="0.25">
      <c r="A40" t="s">
        <v>190</v>
      </c>
    </row>
    <row r="41" spans="1:1" x14ac:dyDescent="0.25">
      <c r="A41" t="s">
        <v>191</v>
      </c>
    </row>
    <row r="42" spans="1:1" x14ac:dyDescent="0.25">
      <c r="A42" t="s">
        <v>192</v>
      </c>
    </row>
    <row r="43" spans="1:1" x14ac:dyDescent="0.25">
      <c r="A43" t="s">
        <v>193</v>
      </c>
    </row>
    <row r="44" spans="1:1" x14ac:dyDescent="0.25">
      <c r="A44" t="s">
        <v>194</v>
      </c>
    </row>
  </sheetData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E6"/>
  <sheetViews>
    <sheetView zoomScale="235" zoomScaleNormal="235" workbookViewId="0">
      <selection activeCell="B3" sqref="B3:B6"/>
    </sheetView>
  </sheetViews>
  <sheetFormatPr defaultRowHeight="15" x14ac:dyDescent="0.25"/>
  <cols>
    <col min="1" max="1" width="19.5703125" customWidth="1"/>
    <col min="2" max="2" width="20.28515625" customWidth="1"/>
  </cols>
  <sheetData>
    <row r="1" spans="1:5" ht="21" customHeight="1" x14ac:dyDescent="0.25">
      <c r="A1" s="55" t="s">
        <v>107</v>
      </c>
      <c r="B1" s="56"/>
      <c r="C1" s="18"/>
      <c r="D1" s="18"/>
      <c r="E1" s="18"/>
    </row>
    <row r="2" spans="1:5" x14ac:dyDescent="0.25">
      <c r="A2" s="19" t="s">
        <v>106</v>
      </c>
      <c r="B2" s="19" t="s">
        <v>105</v>
      </c>
    </row>
    <row r="3" spans="1:5" ht="17.25" customHeight="1" x14ac:dyDescent="0.25">
      <c r="A3" s="20" t="s">
        <v>104</v>
      </c>
      <c r="B3" s="20"/>
    </row>
    <row r="4" spans="1:5" x14ac:dyDescent="0.25">
      <c r="A4" s="20" t="s">
        <v>103</v>
      </c>
      <c r="B4" s="20"/>
    </row>
    <row r="5" spans="1:5" x14ac:dyDescent="0.25">
      <c r="A5" s="20" t="s">
        <v>102</v>
      </c>
      <c r="B5" s="20"/>
    </row>
    <row r="6" spans="1:5" x14ac:dyDescent="0.25">
      <c r="A6" s="20" t="s">
        <v>101</v>
      </c>
      <c r="B6" s="20"/>
    </row>
  </sheetData>
  <mergeCells count="1">
    <mergeCell ref="A1:B1"/>
  </mergeCell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O25"/>
  <sheetViews>
    <sheetView zoomScale="190" zoomScaleNormal="190" workbookViewId="0">
      <selection activeCell="O7" sqref="O7"/>
    </sheetView>
  </sheetViews>
  <sheetFormatPr defaultRowHeight="15" x14ac:dyDescent="0.25"/>
  <cols>
    <col min="1" max="1" width="11.140625" customWidth="1"/>
    <col min="2" max="2" width="16" customWidth="1"/>
    <col min="3" max="3" width="11.5703125" bestFit="1" customWidth="1"/>
    <col min="4" max="4" width="15.140625" customWidth="1"/>
    <col min="5" max="5" width="22.5703125" bestFit="1" customWidth="1"/>
    <col min="6" max="6" width="12" bestFit="1" customWidth="1"/>
    <col min="7" max="7" width="10.42578125" customWidth="1"/>
    <col min="8" max="9" width="14" bestFit="1" customWidth="1"/>
    <col min="11" max="11" width="14" bestFit="1" customWidth="1"/>
    <col min="12" max="12" width="14.28515625" bestFit="1" customWidth="1"/>
    <col min="14" max="14" width="16" bestFit="1" customWidth="1"/>
    <col min="15" max="15" width="15.140625" customWidth="1"/>
  </cols>
  <sheetData>
    <row r="1" spans="1:15" ht="18.75" x14ac:dyDescent="0.4">
      <c r="A1" s="14" t="s">
        <v>84</v>
      </c>
      <c r="B1" s="57" t="s">
        <v>100</v>
      </c>
      <c r="C1" s="58"/>
      <c r="F1" s="13" t="s">
        <v>87</v>
      </c>
      <c r="G1" s="14" t="s">
        <v>99</v>
      </c>
      <c r="H1" s="14" t="s">
        <v>98</v>
      </c>
      <c r="I1" s="14" t="s">
        <v>83</v>
      </c>
      <c r="K1" s="59" t="s">
        <v>97</v>
      </c>
      <c r="L1" s="60"/>
      <c r="N1" s="61" t="s">
        <v>96</v>
      </c>
      <c r="O1" s="61"/>
    </row>
    <row r="2" spans="1:15" x14ac:dyDescent="0.25">
      <c r="B2" s="1" t="s">
        <v>95</v>
      </c>
      <c r="E2" s="12" t="s">
        <v>94</v>
      </c>
      <c r="F2" s="1">
        <v>1</v>
      </c>
      <c r="G2" s="7"/>
      <c r="H2" s="7"/>
      <c r="I2" s="7"/>
      <c r="K2" s="1" t="s">
        <v>82</v>
      </c>
      <c r="L2" s="1"/>
      <c r="N2" s="1"/>
      <c r="O2" s="1"/>
    </row>
    <row r="3" spans="1:15" x14ac:dyDescent="0.25">
      <c r="A3" s="11" t="s">
        <v>93</v>
      </c>
      <c r="B3" s="1" t="s">
        <v>91</v>
      </c>
      <c r="C3" s="10">
        <v>0.1</v>
      </c>
      <c r="D3" s="1" t="s">
        <v>92</v>
      </c>
      <c r="E3" s="1" t="s">
        <v>47</v>
      </c>
      <c r="F3" s="1">
        <v>2</v>
      </c>
      <c r="G3" s="7"/>
      <c r="H3" s="7"/>
      <c r="I3" s="7"/>
      <c r="K3" s="1" t="s">
        <v>91</v>
      </c>
      <c r="L3" s="10">
        <v>0.1</v>
      </c>
      <c r="N3" s="1" t="s">
        <v>91</v>
      </c>
      <c r="O3" s="10">
        <v>0.03</v>
      </c>
    </row>
    <row r="4" spans="1:15" x14ac:dyDescent="0.25">
      <c r="B4" s="11" t="s">
        <v>82</v>
      </c>
      <c r="C4" s="1">
        <v>100000</v>
      </c>
      <c r="D4" s="15" t="s">
        <v>90</v>
      </c>
      <c r="E4" s="1" t="s">
        <v>89</v>
      </c>
      <c r="F4" s="1">
        <v>3</v>
      </c>
      <c r="G4" s="7"/>
      <c r="H4" s="7"/>
      <c r="I4" s="7"/>
      <c r="K4" s="1" t="s">
        <v>83</v>
      </c>
      <c r="L4" s="1">
        <v>20000</v>
      </c>
      <c r="N4" s="1" t="s">
        <v>83</v>
      </c>
      <c r="O4" s="1">
        <v>5500</v>
      </c>
    </row>
    <row r="5" spans="1:15" x14ac:dyDescent="0.25">
      <c r="B5" s="11" t="s">
        <v>88</v>
      </c>
      <c r="C5" s="1">
        <v>10</v>
      </c>
      <c r="D5" s="15" t="s">
        <v>87</v>
      </c>
      <c r="E5" s="1" t="s">
        <v>86</v>
      </c>
      <c r="F5" s="1">
        <v>4</v>
      </c>
      <c r="G5" s="7"/>
      <c r="H5" s="7"/>
      <c r="I5" s="7"/>
      <c r="K5" s="1" t="s">
        <v>85</v>
      </c>
      <c r="L5" s="1">
        <v>60</v>
      </c>
      <c r="N5" s="1" t="s">
        <v>85</v>
      </c>
      <c r="O5" s="1">
        <v>12</v>
      </c>
    </row>
    <row r="6" spans="1:15" x14ac:dyDescent="0.25">
      <c r="C6" s="1"/>
      <c r="F6" s="1">
        <v>5</v>
      </c>
      <c r="G6" s="7"/>
      <c r="H6" s="7"/>
      <c r="I6" s="7"/>
    </row>
    <row r="7" spans="1:15" x14ac:dyDescent="0.25">
      <c r="A7" s="1" t="s">
        <v>84</v>
      </c>
      <c r="B7" s="11" t="s">
        <v>83</v>
      </c>
      <c r="C7" s="16"/>
      <c r="F7" s="1">
        <v>6</v>
      </c>
      <c r="G7" s="7"/>
      <c r="H7" s="7"/>
      <c r="I7" s="7"/>
      <c r="K7" s="1" t="s">
        <v>82</v>
      </c>
      <c r="L7" s="9"/>
      <c r="N7" s="1" t="s">
        <v>81</v>
      </c>
      <c r="O7" s="9"/>
    </row>
    <row r="8" spans="1:15" x14ac:dyDescent="0.25">
      <c r="A8" s="1" t="s">
        <v>80</v>
      </c>
      <c r="B8" s="11" t="s">
        <v>79</v>
      </c>
      <c r="C8" s="1"/>
      <c r="E8" s="6"/>
      <c r="F8" s="1">
        <v>7</v>
      </c>
      <c r="G8" s="7"/>
      <c r="H8" s="7"/>
      <c r="I8" s="7"/>
    </row>
    <row r="9" spans="1:15" x14ac:dyDescent="0.25">
      <c r="A9" s="1" t="s">
        <v>39</v>
      </c>
      <c r="B9" s="11" t="s">
        <v>78</v>
      </c>
      <c r="C9" s="7"/>
      <c r="E9" s="8"/>
      <c r="F9" s="1">
        <v>8</v>
      </c>
      <c r="G9" s="7"/>
      <c r="H9" s="7"/>
      <c r="I9" s="7"/>
    </row>
    <row r="10" spans="1:15" x14ac:dyDescent="0.25">
      <c r="F10" s="1">
        <v>9</v>
      </c>
      <c r="G10" s="7"/>
      <c r="H10" s="7"/>
      <c r="I10" s="7"/>
    </row>
    <row r="11" spans="1:15" x14ac:dyDescent="0.25">
      <c r="C11" s="6"/>
      <c r="F11" s="1">
        <v>10</v>
      </c>
      <c r="G11" s="7"/>
      <c r="H11" s="7"/>
      <c r="I11" s="7"/>
    </row>
    <row r="12" spans="1:15" x14ac:dyDescent="0.25">
      <c r="F12" s="1"/>
      <c r="G12" s="7"/>
      <c r="H12" s="7"/>
      <c r="I12" s="7"/>
    </row>
    <row r="14" spans="1:15" x14ac:dyDescent="0.25">
      <c r="H14" s="17"/>
    </row>
    <row r="18" spans="4:4" x14ac:dyDescent="0.25">
      <c r="D18" s="42"/>
    </row>
    <row r="20" spans="4:4" x14ac:dyDescent="0.25">
      <c r="D20" s="43"/>
    </row>
    <row r="24" spans="4:4" x14ac:dyDescent="0.25">
      <c r="D24" s="25"/>
    </row>
    <row r="25" spans="4:4" x14ac:dyDescent="0.25">
      <c r="D25" s="43"/>
    </row>
  </sheetData>
  <mergeCells count="3">
    <mergeCell ref="B1:C1"/>
    <mergeCell ref="K1:L1"/>
    <mergeCell ref="N1:O1"/>
  </mergeCells>
  <pageMargins left="0.7" right="0.7" top="0.75" bottom="0.75" header="0.3" footer="0.3"/>
  <pageSetup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70CA7-072E-401D-B6DB-B596C19532A0}">
  <dimension ref="A1:F40"/>
  <sheetViews>
    <sheetView zoomScale="175" zoomScaleNormal="175" workbookViewId="0">
      <selection activeCell="A43" sqref="A43"/>
    </sheetView>
  </sheetViews>
  <sheetFormatPr defaultRowHeight="15" x14ac:dyDescent="0.25"/>
  <cols>
    <col min="1" max="1" width="15.42578125" bestFit="1" customWidth="1"/>
    <col min="2" max="3" width="10.28515625" bestFit="1" customWidth="1"/>
    <col min="4" max="4" width="10.7109375" bestFit="1" customWidth="1"/>
  </cols>
  <sheetData>
    <row r="1" spans="1:4" x14ac:dyDescent="0.25">
      <c r="A1" t="s">
        <v>220</v>
      </c>
    </row>
    <row r="3" spans="1:4" x14ac:dyDescent="0.25">
      <c r="A3" s="41">
        <f ca="1">TODAY()</f>
        <v>46245</v>
      </c>
      <c r="B3">
        <v>7</v>
      </c>
      <c r="C3" s="41">
        <f ca="1">A3+B3</f>
        <v>46252</v>
      </c>
      <c r="D3" t="s">
        <v>221</v>
      </c>
    </row>
    <row r="4" spans="1:4" x14ac:dyDescent="0.25">
      <c r="A4" s="41">
        <f ca="1">TODAY()</f>
        <v>46245</v>
      </c>
      <c r="B4">
        <v>5</v>
      </c>
      <c r="C4" s="41">
        <f ca="1">A4-B4</f>
        <v>46240</v>
      </c>
    </row>
    <row r="6" spans="1:4" x14ac:dyDescent="0.25">
      <c r="A6" s="50">
        <f ca="1">NOW()</f>
        <v>46245.642577662038</v>
      </c>
      <c r="C6" t="s">
        <v>222</v>
      </c>
    </row>
    <row r="8" spans="1:4" x14ac:dyDescent="0.25">
      <c r="A8">
        <f ca="1">YEAR(A6)</f>
        <v>2026</v>
      </c>
      <c r="C8" t="s">
        <v>223</v>
      </c>
    </row>
    <row r="9" spans="1:4" x14ac:dyDescent="0.25">
      <c r="A9">
        <f ca="1">MONTH(A6)</f>
        <v>8</v>
      </c>
      <c r="C9" t="s">
        <v>224</v>
      </c>
    </row>
    <row r="10" spans="1:4" x14ac:dyDescent="0.25">
      <c r="A10">
        <f ca="1">DAY(A6)</f>
        <v>11</v>
      </c>
      <c r="C10" t="s">
        <v>225</v>
      </c>
    </row>
    <row r="12" spans="1:4" x14ac:dyDescent="0.25">
      <c r="A12" s="41">
        <f ca="1">DATE(A8,A9,A10)</f>
        <v>46245</v>
      </c>
      <c r="C12" t="s">
        <v>226</v>
      </c>
    </row>
    <row r="13" spans="1:4" x14ac:dyDescent="0.25">
      <c r="A13" s="41"/>
    </row>
    <row r="14" spans="1:4" x14ac:dyDescent="0.25">
      <c r="A14" t="str">
        <f ca="1">TEXT(A6,"dddd")</f>
        <v>Tuesday</v>
      </c>
      <c r="B14" t="str">
        <f ca="1">TEXT(A6,"mmmm")</f>
        <v>August</v>
      </c>
      <c r="C14" t="s">
        <v>227</v>
      </c>
    </row>
    <row r="15" spans="1:4" x14ac:dyDescent="0.25">
      <c r="A15" t="str">
        <f ca="1">TEXT(A12,"ddd")</f>
        <v>Tue</v>
      </c>
      <c r="B15" t="str">
        <f ca="1">TEXT(A6,"mmm")</f>
        <v>Aug</v>
      </c>
    </row>
    <row r="16" spans="1:4" x14ac:dyDescent="0.25">
      <c r="A16" t="str">
        <f ca="1">TEXT(A12,"dd")</f>
        <v>11</v>
      </c>
      <c r="B16" t="str">
        <f ca="1">TEXT(A6,"mm")</f>
        <v>08</v>
      </c>
    </row>
    <row r="17" spans="1:4" x14ac:dyDescent="0.25">
      <c r="B17" t="str">
        <f ca="1">TEXT(A6,"m")</f>
        <v>8</v>
      </c>
    </row>
    <row r="18" spans="1:4" x14ac:dyDescent="0.25">
      <c r="A18" t="str">
        <f ca="1">TEXT(A12,"mmm-yy")</f>
        <v>Aug-26</v>
      </c>
    </row>
    <row r="20" spans="1:4" x14ac:dyDescent="0.25">
      <c r="A20">
        <f ca="1">WEEKDAY(A12,11)</f>
        <v>2</v>
      </c>
    </row>
    <row r="21" spans="1:4" x14ac:dyDescent="0.25">
      <c r="A21" s="41">
        <v>46113</v>
      </c>
      <c r="B21" s="41">
        <v>46326</v>
      </c>
      <c r="C21">
        <f>B21-A21</f>
        <v>213</v>
      </c>
    </row>
    <row r="22" spans="1:4" x14ac:dyDescent="0.25">
      <c r="C22">
        <f>_xlfn.DAYS(B21,A21)</f>
        <v>213</v>
      </c>
    </row>
    <row r="23" spans="1:4" x14ac:dyDescent="0.25">
      <c r="C23">
        <f>DAYS360(A21,B21,)</f>
        <v>210</v>
      </c>
    </row>
    <row r="24" spans="1:4" x14ac:dyDescent="0.25">
      <c r="B24" t="s">
        <v>228</v>
      </c>
    </row>
    <row r="25" spans="1:4" x14ac:dyDescent="0.25">
      <c r="B25" t="s">
        <v>229</v>
      </c>
    </row>
    <row r="27" spans="1:4" x14ac:dyDescent="0.25">
      <c r="A27" s="41">
        <v>46113</v>
      </c>
      <c r="B27" s="41">
        <v>46249</v>
      </c>
      <c r="C27">
        <f>B27-A27</f>
        <v>136</v>
      </c>
    </row>
    <row r="28" spans="1:4" x14ac:dyDescent="0.25">
      <c r="C28">
        <f>_xlfn.DAYS(B27,A27)</f>
        <v>136</v>
      </c>
    </row>
    <row r="29" spans="1:4" x14ac:dyDescent="0.25">
      <c r="C29">
        <f>DAYS360(A27,B27)</f>
        <v>134</v>
      </c>
    </row>
    <row r="31" spans="1:4" x14ac:dyDescent="0.25">
      <c r="A31" s="41">
        <v>46127</v>
      </c>
      <c r="B31">
        <v>6</v>
      </c>
      <c r="C31" s="41">
        <f>EDATE(A31,B31)</f>
        <v>46310</v>
      </c>
      <c r="D31" t="s">
        <v>230</v>
      </c>
    </row>
    <row r="32" spans="1:4" x14ac:dyDescent="0.25">
      <c r="C32" s="41">
        <f>EOMONTH(A31,B31)</f>
        <v>46326</v>
      </c>
      <c r="D32" t="s">
        <v>229</v>
      </c>
    </row>
    <row r="33" spans="1:6" x14ac:dyDescent="0.25">
      <c r="A33" s="41">
        <v>46127</v>
      </c>
      <c r="B33">
        <v>6</v>
      </c>
    </row>
    <row r="35" spans="1:6" x14ac:dyDescent="0.25">
      <c r="A35" t="s">
        <v>231</v>
      </c>
    </row>
    <row r="36" spans="1:6" x14ac:dyDescent="0.25">
      <c r="A36" t="s">
        <v>232</v>
      </c>
    </row>
    <row r="38" spans="1:6" x14ac:dyDescent="0.25">
      <c r="A38" s="41">
        <v>46113</v>
      </c>
      <c r="B38" s="41">
        <v>46326</v>
      </c>
      <c r="C38">
        <f>B38-A38</f>
        <v>213</v>
      </c>
      <c r="D38" t="s">
        <v>142</v>
      </c>
      <c r="E38" t="s">
        <v>233</v>
      </c>
      <c r="F38" t="s">
        <v>234</v>
      </c>
    </row>
    <row r="40" spans="1:6" x14ac:dyDescent="0.25">
      <c r="C40">
        <f>NETWORKDAYS.INTL(A38,B38,11,)</f>
        <v>184</v>
      </c>
      <c r="D40" t="s">
        <v>235</v>
      </c>
      <c r="E40" t="s">
        <v>236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14F8FBD-85F9-4071-9C91-B9F64853ADE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IF FORMULA</vt:lpstr>
      <vt:lpstr>NESTED IF</vt:lpstr>
      <vt:lpstr>IF AND IF OR</vt:lpstr>
      <vt:lpstr>COUNTA &amp; COUNT BLANK</vt:lpstr>
      <vt:lpstr>SUMIF</vt:lpstr>
      <vt:lpstr>SUMIFS</vt:lpstr>
      <vt:lpstr>COUNTIF</vt:lpstr>
      <vt:lpstr>COUNTIFS</vt:lpstr>
      <vt:lpstr>AVERAGEIF AND AVERAGE IFS</vt:lpstr>
      <vt:lpstr>SUBTOTAL</vt:lpstr>
      <vt:lpstr>SUMPRODUCT</vt:lpstr>
      <vt:lpstr>LEFT, MID, RIGHT, FIND </vt:lpstr>
      <vt:lpstr>Flash Fill</vt:lpstr>
      <vt:lpstr>SUBSTITUTE</vt:lpstr>
      <vt:lpstr>PMT,IPMT,PPMT,PV,FV</vt:lpstr>
      <vt:lpstr>Date function</vt:lpstr>
      <vt:lpstr>Amount</vt:lpstr>
      <vt:lpstr>Debit_Credit</vt:lpstr>
      <vt:lpstr>Designation</vt:lpstr>
      <vt:lpstr>Employee_Code</vt:lpstr>
      <vt:lpstr>Salary</vt:lpstr>
      <vt:lpstr>Transction_Type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Satish</dc:creator>
  <cp:lastModifiedBy>Lokesh Ahire</cp:lastModifiedBy>
  <dcterms:created xsi:type="dcterms:W3CDTF">2019-10-18T01:12:53Z</dcterms:created>
  <dcterms:modified xsi:type="dcterms:W3CDTF">2026-08-11T09:55:32Z</dcterms:modified>
</cp:coreProperties>
</file>